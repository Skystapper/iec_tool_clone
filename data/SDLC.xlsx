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tables/table1.xml" ContentType="application/vnd.openxmlformats-officedocument.spreadsheetml.table+xml"/>
  <Override PartName="/xl/customProperty6.bin" ContentType="application/vnd.openxmlformats-officedocument.spreadsheetml.customProperty"/>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ustomProperty7.bin" ContentType="application/vnd.openxmlformats-officedocument.spreadsheetml.customProperty"/>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ustomProperty8.bin" ContentType="application/vnd.openxmlformats-officedocument.spreadsheetml.customProperty"/>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ustomProperty9.bin" ContentType="application/vnd.openxmlformats-officedocument.spreadsheetml.customProperty"/>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ustomProperty10.bin" ContentType="application/vnd.openxmlformats-officedocument.spreadsheetml.customProperty"/>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ustomProperty11.bin" ContentType="application/vnd.openxmlformats-officedocument.spreadsheetml.customProperty"/>
  <Override PartName="/xl/drawings/drawing7.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ustomProperty12.bin" ContentType="application/vnd.openxmlformats-officedocument.spreadsheetml.customProperty"/>
  <Override PartName="/xl/drawings/drawing8.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9.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customProperty13.bin" ContentType="application/vnd.openxmlformats-officedocument.spreadsheetml.customProperty"/>
  <Override PartName="/xl/drawings/drawing10.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customProperty14.bin" ContentType="application/vnd.openxmlformats-officedocument.spreadsheetml.customProperty"/>
  <Override PartName="/xl/customProperty15.bin" ContentType="application/vnd.openxmlformats-officedocument.spreadsheetml.customProperty"/>
  <Override PartName="/xl/drawings/drawing11.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bb-my.sharepoint.com/personal/anusha_s-patil_in_abb_com/Documents/Internship/DB_ABBY_Agent/Identification of responsibility/Knowledge_base/"/>
    </mc:Choice>
  </mc:AlternateContent>
  <xr:revisionPtr revIDLastSave="0" documentId="8_{E1AFD977-98D5-4F27-87F1-4659CFDA105E}" xr6:coauthVersionLast="47" xr6:coauthVersionMax="47" xr10:uidLastSave="{00000000-0000-0000-0000-000000000000}"/>
  <bookViews>
    <workbookView xWindow="28680" yWindow="-120" windowWidth="25440" windowHeight="15270" tabRatio="421" firstSheet="6" activeTab="6" xr2:uid="{00000000-000D-0000-FFFF-FFFF00000000}"/>
  </bookViews>
  <sheets>
    <sheet name="Guidance" sheetId="15" state="hidden" r:id="rId1"/>
    <sheet name="SL Vector and Rating" sheetId="2" state="hidden" r:id="rId2"/>
    <sheet name="Instructions" sheetId="26" r:id="rId3"/>
    <sheet name="Requirements" sheetId="14" state="hidden" r:id="rId4"/>
    <sheet name="Summary" sheetId="13" state="hidden" r:id="rId5"/>
    <sheet name="MCSR1.0" sheetId="18" state="hidden" r:id="rId6"/>
    <sheet name="Compliance Assessment" sheetId="25" r:id="rId7"/>
    <sheet name="FR1_IAC" sheetId="3" state="hidden" r:id="rId8"/>
    <sheet name="FR2_UC" sheetId="4" state="hidden" r:id="rId9"/>
    <sheet name="FR3_SI" sheetId="5" state="hidden" r:id="rId10"/>
    <sheet name="FR4_DC" sheetId="6" state="hidden" r:id="rId11"/>
    <sheet name="FR5_RDF" sheetId="7" state="hidden" r:id="rId12"/>
    <sheet name="FR6_TRE" sheetId="8" state="hidden" r:id="rId13"/>
    <sheet name="FR7_RA" sheetId="9" state="hidden" r:id="rId14"/>
    <sheet name="FSA_CCSC" sheetId="24" state="hidden" r:id="rId15"/>
    <sheet name="ABB specific" sheetId="21" state="hidden" r:id="rId16"/>
    <sheet name="List_Values" sheetId="10" state="hidden" r:id="rId17"/>
    <sheet name="SDL mapping" sheetId="22" state="hidden" r:id="rId18"/>
  </sheets>
  <definedNames>
    <definedName name="_xlnm._FilterDatabase" localSheetId="15" hidden="1">'ABB specific'!$K$6:$O$41</definedName>
    <definedName name="_xlnm._FilterDatabase" localSheetId="6" hidden="1">'Compliance Assessment'!$A$1:$J$1</definedName>
    <definedName name="_xlnm._FilterDatabase" localSheetId="7" hidden="1">FR1_IAC!$P$6:$Q$83</definedName>
    <definedName name="_xlnm._FilterDatabase" localSheetId="8" hidden="1">FR2_UC!$P$6:$Q$109</definedName>
    <definedName name="_xlnm._FilterDatabase" localSheetId="9" hidden="1">FR3_SI!$P$6:$Q$155</definedName>
    <definedName name="_xlnm._FilterDatabase" localSheetId="10" hidden="1">FR4_DC!$P$6:$P$24</definedName>
    <definedName name="_xlnm._FilterDatabase" localSheetId="11" hidden="1">FR5_RDF!$P$6:$P$29</definedName>
    <definedName name="_xlnm._FilterDatabase" localSheetId="12" hidden="1">FR6_TRE!$P$6:$P$17</definedName>
    <definedName name="_xlnm._FilterDatabase" localSheetId="13" hidden="1">FR7_RA!$P$6:$P$42</definedName>
    <definedName name="_xlnm._FilterDatabase" localSheetId="14" hidden="1">FSA_CCSC!$P$6:$P$27</definedName>
    <definedName name="_xlnm._FilterDatabase" localSheetId="5" hidden="1">MCSR1.0!$A$1:$N$126</definedName>
    <definedName name="_xlnm._FilterDatabase" localSheetId="3">Requirements!$A$1:$R$126</definedName>
    <definedName name="_xlnm._FilterDatabase" localSheetId="4" hidden="1">Summary!$A$1:$L$126</definedName>
    <definedName name="_Ref470001432" localSheetId="8">FR2_UC!$C$71</definedName>
    <definedName name="l_AssessorRating">List_Values!$B$12:$B$16</definedName>
    <definedName name="Rating">List_Values!$B$2:$B$5</definedName>
    <definedName name="SecurityLevels">'SL Vector and Rating'!$B$7:$B$11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5" l="1"/>
  <c r="J26" i="3"/>
  <c r="P30" i="3"/>
  <c r="P26" i="3"/>
  <c r="P44" i="5"/>
  <c r="E23" i="22"/>
  <c r="E10" i="22"/>
  <c r="E56" i="22"/>
  <c r="E53" i="22"/>
  <c r="E50" i="22"/>
  <c r="E47" i="22"/>
  <c r="E44" i="22"/>
  <c r="E41" i="22"/>
  <c r="P21" i="24"/>
  <c r="P22" i="24"/>
  <c r="P23" i="24"/>
  <c r="P24" i="24"/>
  <c r="P25" i="24"/>
  <c r="P26" i="24"/>
  <c r="P27" i="24"/>
  <c r="J27" i="24"/>
  <c r="E27" i="24"/>
  <c r="J24" i="24"/>
  <c r="E24" i="24"/>
  <c r="J21" i="24"/>
  <c r="E21" i="24"/>
  <c r="P20" i="24"/>
  <c r="P19" i="24"/>
  <c r="H7" i="24"/>
  <c r="P18" i="24"/>
  <c r="J18" i="24"/>
  <c r="E18" i="24"/>
  <c r="P17" i="24"/>
  <c r="P16" i="24"/>
  <c r="P15" i="24"/>
  <c r="I7" i="24"/>
  <c r="P14" i="24"/>
  <c r="P13" i="24"/>
  <c r="P12" i="24"/>
  <c r="P11" i="24"/>
  <c r="G7" i="24"/>
  <c r="P10" i="24"/>
  <c r="P9" i="24"/>
  <c r="C126" i="13"/>
  <c r="F7" i="24"/>
  <c r="D126" i="18"/>
  <c r="P42" i="9"/>
  <c r="P41" i="9"/>
  <c r="P40" i="9"/>
  <c r="P39" i="9"/>
  <c r="P38" i="9"/>
  <c r="P37" i="9"/>
  <c r="P36" i="9"/>
  <c r="P35" i="9"/>
  <c r="P34" i="9"/>
  <c r="P33" i="9"/>
  <c r="P31" i="9"/>
  <c r="P30" i="9"/>
  <c r="P29" i="9"/>
  <c r="P28" i="9"/>
  <c r="P27" i="9"/>
  <c r="P26" i="9"/>
  <c r="P25" i="9"/>
  <c r="P24" i="9"/>
  <c r="P23" i="9"/>
  <c r="P22" i="9"/>
  <c r="P21" i="9"/>
  <c r="P20" i="9"/>
  <c r="P19" i="9"/>
  <c r="P18" i="9"/>
  <c r="P17" i="9"/>
  <c r="P16" i="9"/>
  <c r="P15" i="9"/>
  <c r="P14" i="9"/>
  <c r="P13" i="9"/>
  <c r="P12" i="9"/>
  <c r="P11" i="9"/>
  <c r="P10" i="9"/>
  <c r="P9" i="9"/>
  <c r="P17" i="8"/>
  <c r="P16" i="8"/>
  <c r="P15" i="8"/>
  <c r="P14" i="8"/>
  <c r="P13" i="8"/>
  <c r="P12" i="8"/>
  <c r="P11" i="8"/>
  <c r="P10" i="8"/>
  <c r="P9" i="8"/>
  <c r="P29" i="7"/>
  <c r="P28" i="7"/>
  <c r="P27" i="7"/>
  <c r="P26" i="7"/>
  <c r="P25" i="7"/>
  <c r="P24" i="7"/>
  <c r="P23" i="7"/>
  <c r="P22" i="7"/>
  <c r="P21" i="7"/>
  <c r="P20" i="7"/>
  <c r="P19" i="7"/>
  <c r="P18" i="7"/>
  <c r="P17" i="7"/>
  <c r="P16" i="7"/>
  <c r="P15" i="7"/>
  <c r="P14" i="7"/>
  <c r="P13" i="7"/>
  <c r="P12" i="7"/>
  <c r="P11" i="7"/>
  <c r="P10" i="7"/>
  <c r="P9" i="7"/>
  <c r="P24" i="6"/>
  <c r="P23" i="6"/>
  <c r="P22" i="6"/>
  <c r="P21" i="6"/>
  <c r="P20" i="6"/>
  <c r="P19" i="6"/>
  <c r="P18" i="6"/>
  <c r="P17" i="6"/>
  <c r="P16" i="6"/>
  <c r="P15" i="6"/>
  <c r="P14" i="6"/>
  <c r="P13" i="6"/>
  <c r="P155" i="5"/>
  <c r="P154" i="5"/>
  <c r="P153" i="5"/>
  <c r="P147" i="5"/>
  <c r="P146" i="5"/>
  <c r="P139" i="5"/>
  <c r="P138" i="5"/>
  <c r="P137" i="5"/>
  <c r="P119" i="5"/>
  <c r="P118" i="5"/>
  <c r="P117" i="5"/>
  <c r="P110" i="5"/>
  <c r="P109" i="5"/>
  <c r="P108" i="5"/>
  <c r="P107" i="5"/>
  <c r="P106" i="5"/>
  <c r="P105" i="5"/>
  <c r="P104" i="5"/>
  <c r="P103" i="5"/>
  <c r="P102" i="5"/>
  <c r="P101" i="5"/>
  <c r="P100" i="5"/>
  <c r="P99" i="5"/>
  <c r="P98" i="5"/>
  <c r="P97" i="5"/>
  <c r="P96" i="5"/>
  <c r="P95" i="5"/>
  <c r="P94" i="5"/>
  <c r="P93" i="5"/>
  <c r="P89" i="5"/>
  <c r="P88" i="5"/>
  <c r="P87" i="5"/>
  <c r="P83" i="5"/>
  <c r="P82" i="5"/>
  <c r="P81" i="5"/>
  <c r="P77" i="5"/>
  <c r="P76" i="5"/>
  <c r="P75" i="5"/>
  <c r="P74" i="5"/>
  <c r="P73" i="5"/>
  <c r="P72" i="5"/>
  <c r="P71" i="5"/>
  <c r="P70" i="5"/>
  <c r="P69" i="5"/>
  <c r="P68" i="5"/>
  <c r="P65" i="5"/>
  <c r="P64" i="5"/>
  <c r="P63" i="5"/>
  <c r="P62" i="5"/>
  <c r="P61" i="5"/>
  <c r="P60" i="5"/>
  <c r="P59" i="5"/>
  <c r="P58" i="5"/>
  <c r="P57" i="5"/>
  <c r="P56" i="5"/>
  <c r="P55" i="5"/>
  <c r="P54" i="5"/>
  <c r="P53" i="5"/>
  <c r="P52" i="5"/>
  <c r="P51" i="5"/>
  <c r="P43"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5" i="4"/>
  <c r="P34" i="4"/>
  <c r="P33" i="4"/>
  <c r="P32" i="4"/>
  <c r="P31" i="4"/>
  <c r="P30" i="4"/>
  <c r="P29" i="4"/>
  <c r="P28" i="4"/>
  <c r="P27" i="4"/>
  <c r="P26" i="4"/>
  <c r="P25" i="4"/>
  <c r="P24" i="4"/>
  <c r="P23" i="4"/>
  <c r="P22" i="4"/>
  <c r="P21" i="4"/>
  <c r="P20" i="4"/>
  <c r="P19" i="4"/>
  <c r="P18" i="4"/>
  <c r="P17" i="4"/>
  <c r="P16" i="4"/>
  <c r="P15" i="4"/>
  <c r="P14" i="4"/>
  <c r="P13" i="4"/>
  <c r="P12" i="4"/>
  <c r="P11" i="4"/>
  <c r="P10" i="4"/>
  <c r="P9"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29" i="3"/>
  <c r="P28" i="3"/>
  <c r="P27" i="3"/>
  <c r="P25" i="3"/>
  <c r="P24" i="3"/>
  <c r="P23" i="3"/>
  <c r="P22" i="3"/>
  <c r="P21" i="3"/>
  <c r="P20" i="3"/>
  <c r="P19" i="3"/>
  <c r="P18" i="3"/>
  <c r="P17" i="3"/>
  <c r="P16" i="3"/>
  <c r="P15" i="3"/>
  <c r="P14" i="3"/>
  <c r="P13" i="3"/>
  <c r="P12" i="3"/>
  <c r="P11" i="3"/>
  <c r="P9" i="3"/>
  <c r="P10" i="3"/>
  <c r="E101" i="22"/>
  <c r="E98" i="22"/>
  <c r="E95" i="22"/>
  <c r="E92" i="22"/>
  <c r="E89" i="22"/>
  <c r="E86" i="22"/>
  <c r="E83" i="22"/>
  <c r="E38" i="22"/>
  <c r="E35" i="22"/>
  <c r="E32" i="22"/>
  <c r="E29" i="22"/>
  <c r="E26" i="22"/>
  <c r="E29" i="21"/>
  <c r="E68" i="22"/>
  <c r="E80" i="22"/>
  <c r="E77" i="22"/>
  <c r="E74" i="22"/>
  <c r="E71" i="22"/>
  <c r="E65" i="22"/>
  <c r="E62" i="22"/>
  <c r="E59" i="22"/>
  <c r="E20" i="22"/>
  <c r="E17" i="22"/>
  <c r="E14" i="22"/>
  <c r="E41" i="21"/>
  <c r="E38" i="21"/>
  <c r="E35" i="21"/>
  <c r="E32" i="21"/>
  <c r="E26" i="21"/>
  <c r="E23" i="21"/>
  <c r="E20" i="21"/>
  <c r="E17" i="21"/>
  <c r="E14" i="21"/>
  <c r="E11" i="21"/>
  <c r="E2" i="18"/>
  <c r="E3" i="18"/>
  <c r="E4" i="18"/>
  <c r="E5" i="18"/>
  <c r="E6" i="18"/>
  <c r="E110" i="18"/>
  <c r="E7" i="18"/>
  <c r="E111"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115" i="18"/>
  <c r="E120" i="18"/>
  <c r="E33" i="18"/>
  <c r="E34" i="18"/>
  <c r="E35" i="18"/>
  <c r="E36" i="18"/>
  <c r="E37" i="18"/>
  <c r="E38" i="18"/>
  <c r="E39" i="18"/>
  <c r="E40" i="18"/>
  <c r="E41" i="18"/>
  <c r="E42" i="18"/>
  <c r="E43" i="18"/>
  <c r="E44" i="18"/>
  <c r="E45" i="18"/>
  <c r="E46" i="18"/>
  <c r="E47" i="18"/>
  <c r="E48" i="18"/>
  <c r="E113" i="18"/>
  <c r="E49" i="18"/>
  <c r="E50" i="18"/>
  <c r="E51" i="18"/>
  <c r="E52" i="18"/>
  <c r="E53" i="18"/>
  <c r="E123" i="18"/>
  <c r="E54" i="18"/>
  <c r="E55" i="18"/>
  <c r="E116" i="18"/>
  <c r="E56" i="18"/>
  <c r="E57" i="18"/>
  <c r="E58" i="18"/>
  <c r="E59" i="18"/>
  <c r="E60" i="18"/>
  <c r="E121" i="18"/>
  <c r="E122" i="18"/>
  <c r="E61" i="18"/>
  <c r="E106" i="18"/>
  <c r="E62" i="18"/>
  <c r="E107" i="18"/>
  <c r="E108" i="18"/>
  <c r="E63" i="18"/>
  <c r="E64" i="18"/>
  <c r="E118" i="18"/>
  <c r="E119" i="18"/>
  <c r="E65" i="18"/>
  <c r="E66" i="18"/>
  <c r="E67" i="18"/>
  <c r="E68" i="18"/>
  <c r="E69" i="18"/>
  <c r="E70" i="18"/>
  <c r="E71" i="18"/>
  <c r="E72" i="18"/>
  <c r="E73" i="18"/>
  <c r="E74" i="18"/>
  <c r="E117" i="18"/>
  <c r="E75" i="18"/>
  <c r="E76" i="18"/>
  <c r="E125" i="18"/>
  <c r="E77" i="18"/>
  <c r="E78" i="18"/>
  <c r="E126" i="18"/>
  <c r="E79" i="18"/>
  <c r="E80" i="18"/>
  <c r="E81" i="18"/>
  <c r="E82" i="18"/>
  <c r="E83" i="18"/>
  <c r="E124" i="18"/>
  <c r="E84" i="18"/>
  <c r="E85" i="18"/>
  <c r="E86" i="18"/>
  <c r="E112" i="18"/>
  <c r="E87" i="18"/>
  <c r="E88" i="18"/>
  <c r="E89" i="18"/>
  <c r="E90" i="18"/>
  <c r="E91" i="18"/>
  <c r="E92" i="18"/>
  <c r="E93" i="18"/>
  <c r="E94" i="18"/>
  <c r="E95" i="18"/>
  <c r="E96" i="18"/>
  <c r="E109" i="18"/>
  <c r="E97" i="18"/>
  <c r="E98" i="18"/>
  <c r="E99" i="18"/>
  <c r="E100" i="18"/>
  <c r="E101" i="18"/>
  <c r="E102" i="18"/>
  <c r="E103" i="18"/>
  <c r="E104" i="18"/>
  <c r="E114" i="18"/>
  <c r="E105" i="18"/>
  <c r="E95" i="5"/>
  <c r="D124" i="18"/>
  <c r="F31" i="18"/>
  <c r="D31" i="18"/>
  <c r="C31" i="18"/>
  <c r="D115" i="18"/>
  <c r="D114" i="18"/>
  <c r="D109" i="18"/>
  <c r="F105" i="18"/>
  <c r="F114" i="18"/>
  <c r="F104" i="18"/>
  <c r="F103" i="18"/>
  <c r="F102" i="18"/>
  <c r="F101" i="18"/>
  <c r="F100" i="18"/>
  <c r="F99" i="18"/>
  <c r="F98" i="18"/>
  <c r="F97" i="18"/>
  <c r="F109" i="18"/>
  <c r="F96" i="18"/>
  <c r="F95" i="18"/>
  <c r="F94" i="18"/>
  <c r="F93" i="18"/>
  <c r="F92" i="18"/>
  <c r="F91" i="18"/>
  <c r="F90" i="18"/>
  <c r="F89" i="18"/>
  <c r="F88" i="18"/>
  <c r="F87" i="18"/>
  <c r="F112" i="18"/>
  <c r="F86" i="18"/>
  <c r="F85" i="18"/>
  <c r="F84" i="18"/>
  <c r="F124" i="18"/>
  <c r="F83" i="18"/>
  <c r="F82" i="18"/>
  <c r="F81" i="18"/>
  <c r="F80" i="18"/>
  <c r="F79" i="18"/>
  <c r="F126" i="18"/>
  <c r="F78" i="18"/>
  <c r="F77" i="18"/>
  <c r="F125" i="18"/>
  <c r="F76" i="18"/>
  <c r="F75" i="18"/>
  <c r="F117" i="18"/>
  <c r="F74" i="18"/>
  <c r="F73" i="18"/>
  <c r="F72" i="18"/>
  <c r="F71" i="18"/>
  <c r="F70" i="18"/>
  <c r="F69" i="18"/>
  <c r="F68" i="18"/>
  <c r="F67" i="18"/>
  <c r="F66" i="18"/>
  <c r="F65" i="18"/>
  <c r="F119" i="18"/>
  <c r="F118" i="18"/>
  <c r="F64" i="18"/>
  <c r="F63" i="18"/>
  <c r="F108" i="18"/>
  <c r="F107" i="18"/>
  <c r="F62" i="18"/>
  <c r="F106" i="18"/>
  <c r="F61" i="18"/>
  <c r="F122" i="18"/>
  <c r="F121" i="18"/>
  <c r="F60" i="18"/>
  <c r="F59" i="18"/>
  <c r="F58" i="18"/>
  <c r="F57" i="18"/>
  <c r="F56" i="18"/>
  <c r="F116" i="18"/>
  <c r="F55" i="18"/>
  <c r="F54" i="18"/>
  <c r="F123" i="18"/>
  <c r="F53" i="18"/>
  <c r="F52" i="18"/>
  <c r="F51" i="18"/>
  <c r="F50" i="18"/>
  <c r="F49" i="18"/>
  <c r="F113" i="18"/>
  <c r="F48" i="18"/>
  <c r="F47" i="18"/>
  <c r="F46" i="18"/>
  <c r="F45" i="18"/>
  <c r="F44" i="18"/>
  <c r="F43" i="18"/>
  <c r="F42" i="18"/>
  <c r="F41" i="18"/>
  <c r="F40" i="18"/>
  <c r="F39" i="18"/>
  <c r="F38" i="18"/>
  <c r="F37" i="18"/>
  <c r="F36" i="18"/>
  <c r="F35" i="18"/>
  <c r="F34" i="18"/>
  <c r="F33" i="18"/>
  <c r="F120" i="18"/>
  <c r="F115" i="18"/>
  <c r="F32" i="18"/>
  <c r="F30" i="18"/>
  <c r="F29" i="18"/>
  <c r="F28" i="18"/>
  <c r="F27" i="18"/>
  <c r="F26" i="18"/>
  <c r="F25" i="18"/>
  <c r="F24" i="18"/>
  <c r="F23" i="18"/>
  <c r="F22" i="18"/>
  <c r="F21" i="18"/>
  <c r="F20" i="18"/>
  <c r="F19" i="18"/>
  <c r="F18" i="18"/>
  <c r="F17" i="18"/>
  <c r="F16" i="18"/>
  <c r="F15" i="18"/>
  <c r="F14" i="18"/>
  <c r="F13" i="18"/>
  <c r="F12" i="18"/>
  <c r="F11" i="18"/>
  <c r="F10" i="18"/>
  <c r="F9" i="18"/>
  <c r="F8" i="18"/>
  <c r="F111" i="18"/>
  <c r="F7" i="18"/>
  <c r="F110" i="18"/>
  <c r="F6" i="18"/>
  <c r="F5" i="18"/>
  <c r="F4" i="18"/>
  <c r="F3" i="18"/>
  <c r="F2" i="18"/>
  <c r="D105" i="18"/>
  <c r="D104" i="18"/>
  <c r="D103" i="18"/>
  <c r="D102" i="18"/>
  <c r="D101" i="18"/>
  <c r="D100" i="18"/>
  <c r="D99" i="18"/>
  <c r="D98" i="18"/>
  <c r="D97" i="18"/>
  <c r="D96" i="18"/>
  <c r="D95" i="18"/>
  <c r="D94" i="18"/>
  <c r="D93" i="18"/>
  <c r="D92" i="18"/>
  <c r="D91" i="18"/>
  <c r="D90" i="18"/>
  <c r="D89" i="18"/>
  <c r="D88" i="18"/>
  <c r="D87" i="18"/>
  <c r="D112" i="18"/>
  <c r="D86" i="18"/>
  <c r="D85" i="18"/>
  <c r="D84" i="18"/>
  <c r="D83" i="18"/>
  <c r="D82" i="18"/>
  <c r="D81" i="18"/>
  <c r="D80" i="18"/>
  <c r="D79" i="18"/>
  <c r="D78" i="18"/>
  <c r="D77" i="18"/>
  <c r="D125" i="18"/>
  <c r="D76" i="18"/>
  <c r="D75" i="18"/>
  <c r="D117" i="18"/>
  <c r="D74" i="18"/>
  <c r="D73" i="18"/>
  <c r="D72" i="18"/>
  <c r="D71" i="18"/>
  <c r="D70" i="18"/>
  <c r="D69" i="18"/>
  <c r="D68" i="18"/>
  <c r="D67" i="18"/>
  <c r="D66" i="18"/>
  <c r="D65" i="18"/>
  <c r="D119" i="18"/>
  <c r="D118" i="18"/>
  <c r="D64" i="18"/>
  <c r="D63" i="18"/>
  <c r="D108" i="18"/>
  <c r="D107" i="18"/>
  <c r="D62" i="18"/>
  <c r="D106" i="18"/>
  <c r="D61" i="18"/>
  <c r="D122" i="18"/>
  <c r="D121" i="18"/>
  <c r="D60" i="18"/>
  <c r="D59" i="18"/>
  <c r="D58" i="18"/>
  <c r="D57" i="18"/>
  <c r="D56" i="18"/>
  <c r="D116" i="18"/>
  <c r="D55" i="18"/>
  <c r="D54" i="18"/>
  <c r="D123" i="18"/>
  <c r="D53" i="18"/>
  <c r="D52" i="18"/>
  <c r="D51" i="18"/>
  <c r="D50" i="18"/>
  <c r="D49" i="18"/>
  <c r="D113" i="18"/>
  <c r="D48" i="18"/>
  <c r="D47" i="18"/>
  <c r="D46" i="18"/>
  <c r="D45" i="18"/>
  <c r="D44" i="18"/>
  <c r="D43" i="18"/>
  <c r="D42" i="18"/>
  <c r="D41" i="18"/>
  <c r="D40" i="18"/>
  <c r="D39" i="18"/>
  <c r="D38" i="18"/>
  <c r="D37" i="18"/>
  <c r="D36" i="18"/>
  <c r="D35" i="18"/>
  <c r="D34" i="18"/>
  <c r="D33" i="18"/>
  <c r="D120" i="18"/>
  <c r="D32" i="18"/>
  <c r="D30" i="18"/>
  <c r="D29" i="18"/>
  <c r="D28" i="18"/>
  <c r="D27" i="18"/>
  <c r="D26" i="18"/>
  <c r="D25" i="18"/>
  <c r="D24" i="18"/>
  <c r="D23" i="18"/>
  <c r="D22" i="18"/>
  <c r="D21" i="18"/>
  <c r="D20" i="18"/>
  <c r="D19" i="18"/>
  <c r="D18" i="18"/>
  <c r="D17" i="18"/>
  <c r="D16" i="18"/>
  <c r="D15" i="18"/>
  <c r="D14" i="18"/>
  <c r="D13" i="18"/>
  <c r="D12" i="18"/>
  <c r="D11" i="18"/>
  <c r="D10" i="18"/>
  <c r="D9" i="18"/>
  <c r="D8" i="18"/>
  <c r="D111" i="18"/>
  <c r="D7" i="18"/>
  <c r="D110" i="18"/>
  <c r="D6" i="18"/>
  <c r="D5" i="18"/>
  <c r="D4" i="18"/>
  <c r="D3" i="18"/>
  <c r="D2" i="18"/>
  <c r="D3" i="13"/>
  <c r="J105" i="18"/>
  <c r="I105" i="18"/>
  <c r="C105" i="18"/>
  <c r="J114" i="18"/>
  <c r="I114" i="18"/>
  <c r="C114" i="18"/>
  <c r="J104" i="18"/>
  <c r="I104" i="18"/>
  <c r="C104" i="18"/>
  <c r="J103" i="18"/>
  <c r="I103" i="18"/>
  <c r="C103" i="18"/>
  <c r="J102" i="18"/>
  <c r="I102" i="18"/>
  <c r="C102" i="18"/>
  <c r="J101" i="18"/>
  <c r="I101" i="18"/>
  <c r="C101" i="18"/>
  <c r="J100" i="18"/>
  <c r="I100" i="18"/>
  <c r="C100" i="18"/>
  <c r="J99" i="18"/>
  <c r="I99" i="18"/>
  <c r="C99" i="18"/>
  <c r="J98" i="18"/>
  <c r="I98" i="18"/>
  <c r="C98" i="18"/>
  <c r="J97" i="18"/>
  <c r="I97" i="18"/>
  <c r="C97" i="18"/>
  <c r="J109" i="18"/>
  <c r="I109" i="18"/>
  <c r="C109" i="18"/>
  <c r="J96" i="18"/>
  <c r="I96" i="18"/>
  <c r="C96" i="18"/>
  <c r="J95" i="18"/>
  <c r="I95" i="18"/>
  <c r="C95" i="18"/>
  <c r="J94" i="18"/>
  <c r="I94" i="18"/>
  <c r="C94" i="18"/>
  <c r="J93" i="18"/>
  <c r="I93" i="18"/>
  <c r="C93" i="18"/>
  <c r="J92" i="18"/>
  <c r="I92" i="18"/>
  <c r="C92" i="18"/>
  <c r="J91" i="18"/>
  <c r="I91" i="18"/>
  <c r="C91" i="18"/>
  <c r="J90" i="18"/>
  <c r="I90" i="18"/>
  <c r="C90" i="18"/>
  <c r="J89" i="18"/>
  <c r="I89" i="18"/>
  <c r="C89" i="18"/>
  <c r="J88" i="18"/>
  <c r="I88" i="18"/>
  <c r="C88" i="18"/>
  <c r="J87" i="18"/>
  <c r="I87" i="18"/>
  <c r="C87" i="18"/>
  <c r="J112" i="18"/>
  <c r="I112" i="18"/>
  <c r="C112" i="18"/>
  <c r="J86" i="18"/>
  <c r="I86" i="18"/>
  <c r="C86" i="18"/>
  <c r="J85" i="18"/>
  <c r="I85" i="18"/>
  <c r="C85" i="18"/>
  <c r="J84" i="18"/>
  <c r="I84" i="18"/>
  <c r="C84" i="18"/>
  <c r="J124" i="18"/>
  <c r="I124" i="18"/>
  <c r="C124" i="18"/>
  <c r="J83" i="18"/>
  <c r="I83" i="18"/>
  <c r="C83" i="18"/>
  <c r="J82" i="18"/>
  <c r="I82" i="18"/>
  <c r="C82" i="18"/>
  <c r="J81" i="18"/>
  <c r="I81" i="18"/>
  <c r="C81" i="18"/>
  <c r="J80" i="18"/>
  <c r="I80" i="18"/>
  <c r="C80" i="18"/>
  <c r="J79" i="18"/>
  <c r="I79" i="18"/>
  <c r="C79" i="18"/>
  <c r="J126" i="18"/>
  <c r="I126" i="18"/>
  <c r="C126" i="18"/>
  <c r="J78" i="18"/>
  <c r="I78" i="18"/>
  <c r="C78" i="18"/>
  <c r="J77" i="18"/>
  <c r="I77" i="18"/>
  <c r="C77" i="18"/>
  <c r="J125" i="18"/>
  <c r="I125" i="18"/>
  <c r="C125" i="18"/>
  <c r="J76" i="18"/>
  <c r="I76" i="18"/>
  <c r="C76" i="18"/>
  <c r="J75" i="18"/>
  <c r="I75" i="18"/>
  <c r="C75" i="18"/>
  <c r="J117" i="18"/>
  <c r="I117" i="18"/>
  <c r="C117" i="18"/>
  <c r="J74" i="18"/>
  <c r="I74" i="18"/>
  <c r="C74" i="18"/>
  <c r="J73" i="18"/>
  <c r="I73" i="18"/>
  <c r="C73" i="18"/>
  <c r="J72" i="18"/>
  <c r="I72" i="18"/>
  <c r="C72" i="18"/>
  <c r="J71" i="18"/>
  <c r="I71" i="18"/>
  <c r="C71" i="18"/>
  <c r="J70" i="18"/>
  <c r="I70" i="18"/>
  <c r="C70" i="18"/>
  <c r="J69" i="18"/>
  <c r="I69" i="18"/>
  <c r="C69" i="18"/>
  <c r="J68" i="18"/>
  <c r="I68" i="18"/>
  <c r="C68" i="18"/>
  <c r="J67" i="18"/>
  <c r="I67" i="18"/>
  <c r="C67" i="18"/>
  <c r="J66" i="18"/>
  <c r="I66" i="18"/>
  <c r="C66" i="18"/>
  <c r="J65" i="18"/>
  <c r="I65" i="18"/>
  <c r="C65" i="18"/>
  <c r="J119" i="18"/>
  <c r="I119" i="18"/>
  <c r="C119" i="18"/>
  <c r="J118" i="18"/>
  <c r="I118" i="18"/>
  <c r="C118" i="18"/>
  <c r="J64" i="18"/>
  <c r="I64" i="18"/>
  <c r="C64" i="18"/>
  <c r="J63" i="18"/>
  <c r="I63" i="18"/>
  <c r="C63" i="18"/>
  <c r="J108" i="18"/>
  <c r="I108" i="18"/>
  <c r="C108" i="18"/>
  <c r="J107" i="18"/>
  <c r="I107" i="18"/>
  <c r="C107" i="18"/>
  <c r="J62" i="18"/>
  <c r="I62" i="18"/>
  <c r="C62" i="18"/>
  <c r="J106" i="18"/>
  <c r="I106" i="18"/>
  <c r="C106" i="18"/>
  <c r="J61" i="18"/>
  <c r="I61" i="18"/>
  <c r="C61" i="18"/>
  <c r="J122" i="18"/>
  <c r="I122" i="18"/>
  <c r="C122" i="18"/>
  <c r="J121" i="18"/>
  <c r="I121" i="18"/>
  <c r="C121" i="18"/>
  <c r="J60" i="18"/>
  <c r="I60" i="18"/>
  <c r="C60" i="18"/>
  <c r="J59" i="18"/>
  <c r="I59" i="18"/>
  <c r="C59" i="18"/>
  <c r="J58" i="18"/>
  <c r="I58" i="18"/>
  <c r="C58" i="18"/>
  <c r="J57" i="18"/>
  <c r="I57" i="18"/>
  <c r="C57" i="18"/>
  <c r="J56" i="18"/>
  <c r="I56" i="18"/>
  <c r="C56" i="18"/>
  <c r="J116" i="18"/>
  <c r="I116" i="18"/>
  <c r="C116" i="18"/>
  <c r="J55" i="18"/>
  <c r="I55" i="18"/>
  <c r="C55" i="18"/>
  <c r="J54" i="18"/>
  <c r="I54" i="18"/>
  <c r="C54" i="18"/>
  <c r="J123" i="18"/>
  <c r="I123" i="18"/>
  <c r="C123" i="18"/>
  <c r="J53" i="18"/>
  <c r="I53" i="18"/>
  <c r="C53" i="18"/>
  <c r="J52" i="18"/>
  <c r="I52" i="18"/>
  <c r="C52" i="18"/>
  <c r="J51" i="18"/>
  <c r="I51" i="18"/>
  <c r="C51" i="18"/>
  <c r="J50" i="18"/>
  <c r="I50" i="18"/>
  <c r="C50" i="18"/>
  <c r="J49" i="18"/>
  <c r="I49" i="18"/>
  <c r="C49" i="18"/>
  <c r="J113" i="18"/>
  <c r="I113" i="18"/>
  <c r="C113" i="18"/>
  <c r="J48" i="18"/>
  <c r="I48" i="18"/>
  <c r="C48" i="18"/>
  <c r="J47" i="18"/>
  <c r="I47" i="18"/>
  <c r="C47" i="18"/>
  <c r="J46" i="18"/>
  <c r="I46" i="18"/>
  <c r="C46" i="18"/>
  <c r="J45" i="18"/>
  <c r="I45" i="18"/>
  <c r="C45" i="18"/>
  <c r="J44" i="18"/>
  <c r="I44" i="18"/>
  <c r="C44" i="18"/>
  <c r="J43" i="18"/>
  <c r="I43" i="18"/>
  <c r="C43" i="18"/>
  <c r="J42" i="18"/>
  <c r="I42" i="18"/>
  <c r="C42" i="18"/>
  <c r="J41" i="18"/>
  <c r="I41" i="18"/>
  <c r="C41" i="18"/>
  <c r="J40" i="18"/>
  <c r="I40" i="18"/>
  <c r="C40" i="18"/>
  <c r="J39" i="18"/>
  <c r="I39" i="18"/>
  <c r="C39" i="18"/>
  <c r="J38" i="18"/>
  <c r="I38" i="18"/>
  <c r="C38" i="18"/>
  <c r="J37" i="18"/>
  <c r="I37" i="18"/>
  <c r="C37" i="18"/>
  <c r="J36" i="18"/>
  <c r="I36" i="18"/>
  <c r="C36" i="18"/>
  <c r="J35" i="18"/>
  <c r="I35" i="18"/>
  <c r="C35" i="18"/>
  <c r="J34" i="18"/>
  <c r="I34" i="18"/>
  <c r="C34" i="18"/>
  <c r="J33" i="18"/>
  <c r="I33" i="18"/>
  <c r="C33" i="18"/>
  <c r="J120" i="18"/>
  <c r="I120" i="18"/>
  <c r="C120" i="18"/>
  <c r="J115" i="18"/>
  <c r="I115" i="18"/>
  <c r="C115" i="18"/>
  <c r="J32" i="18"/>
  <c r="I32" i="18"/>
  <c r="C32" i="18"/>
  <c r="J31" i="18"/>
  <c r="I31" i="18"/>
  <c r="J30" i="18"/>
  <c r="I30" i="18"/>
  <c r="C30" i="18"/>
  <c r="J29" i="18"/>
  <c r="I29" i="18"/>
  <c r="C29" i="18"/>
  <c r="J28" i="18"/>
  <c r="I28" i="18"/>
  <c r="C28" i="18"/>
  <c r="J27" i="18"/>
  <c r="I27" i="18"/>
  <c r="C27" i="18"/>
  <c r="J26" i="18"/>
  <c r="I26" i="18"/>
  <c r="C26" i="18"/>
  <c r="J25" i="18"/>
  <c r="I25" i="18"/>
  <c r="C25" i="18"/>
  <c r="J24" i="18"/>
  <c r="I24" i="18"/>
  <c r="C24" i="18"/>
  <c r="J23" i="18"/>
  <c r="I23" i="18"/>
  <c r="C23" i="18"/>
  <c r="J22" i="18"/>
  <c r="I22" i="18"/>
  <c r="C22" i="18"/>
  <c r="J21" i="18"/>
  <c r="I21" i="18"/>
  <c r="C21" i="18"/>
  <c r="J20" i="18"/>
  <c r="I20" i="18"/>
  <c r="C20" i="18"/>
  <c r="J19" i="18"/>
  <c r="I19" i="18"/>
  <c r="C19" i="18"/>
  <c r="J18" i="18"/>
  <c r="I18" i="18"/>
  <c r="C18" i="18"/>
  <c r="J17" i="18"/>
  <c r="I17" i="18"/>
  <c r="C17" i="18"/>
  <c r="J16" i="18"/>
  <c r="I16" i="18"/>
  <c r="C16" i="18"/>
  <c r="J15" i="18"/>
  <c r="I15" i="18"/>
  <c r="C15" i="18"/>
  <c r="J14" i="18"/>
  <c r="I14" i="18"/>
  <c r="C14" i="18"/>
  <c r="J13" i="18"/>
  <c r="I13" i="18"/>
  <c r="C13" i="18"/>
  <c r="J12" i="18"/>
  <c r="I12" i="18"/>
  <c r="C12" i="18"/>
  <c r="J11" i="18"/>
  <c r="I11" i="18"/>
  <c r="C11" i="18"/>
  <c r="J10" i="18"/>
  <c r="I10" i="18"/>
  <c r="C10" i="18"/>
  <c r="J9" i="18"/>
  <c r="I9" i="18"/>
  <c r="C9" i="18"/>
  <c r="J8" i="18"/>
  <c r="I8" i="18"/>
  <c r="C8" i="18"/>
  <c r="J111" i="18"/>
  <c r="I111" i="18"/>
  <c r="C111" i="18"/>
  <c r="J7" i="18"/>
  <c r="I7" i="18"/>
  <c r="C7" i="18"/>
  <c r="J110" i="18"/>
  <c r="I110" i="18"/>
  <c r="C110" i="18"/>
  <c r="J6" i="18"/>
  <c r="I6" i="18"/>
  <c r="C6" i="18"/>
  <c r="J5" i="18"/>
  <c r="I5" i="18"/>
  <c r="C5" i="18"/>
  <c r="J4" i="18"/>
  <c r="I4" i="18"/>
  <c r="C4" i="18"/>
  <c r="J3" i="18"/>
  <c r="I3" i="18"/>
  <c r="C3" i="18"/>
  <c r="J2" i="18"/>
  <c r="I2" i="18"/>
  <c r="C2" i="18"/>
  <c r="B113" i="18"/>
  <c r="B59" i="18"/>
  <c r="B68" i="18"/>
  <c r="B74" i="18"/>
  <c r="B75" i="18"/>
  <c r="B81" i="18"/>
  <c r="B84" i="18"/>
  <c r="B31" i="18"/>
  <c r="B35" i="18"/>
  <c r="B88" i="18"/>
  <c r="B33" i="18"/>
  <c r="B50" i="18"/>
  <c r="B11" i="18"/>
  <c r="B34" i="18"/>
  <c r="B42" i="18"/>
  <c r="B48" i="18"/>
  <c r="B91" i="18"/>
  <c r="B93" i="18"/>
  <c r="B38" i="18"/>
  <c r="B49" i="18"/>
  <c r="B2" i="18"/>
  <c r="B4" i="18"/>
  <c r="B6" i="18"/>
  <c r="B8" i="18"/>
  <c r="B10" i="18"/>
  <c r="B30" i="18"/>
  <c r="B46" i="18"/>
  <c r="B24" i="18"/>
  <c r="B95" i="18"/>
  <c r="B20" i="18"/>
  <c r="B28" i="18"/>
  <c r="B90" i="18"/>
  <c r="B111" i="18"/>
  <c r="B112" i="18"/>
  <c r="B53" i="18"/>
  <c r="B109" i="18"/>
  <c r="B98" i="18"/>
  <c r="B19" i="18"/>
  <c r="B25" i="18"/>
  <c r="B27" i="18"/>
  <c r="B45" i="18"/>
  <c r="B107" i="18"/>
  <c r="B117" i="18"/>
  <c r="B13" i="18"/>
  <c r="B94" i="18"/>
  <c r="B15" i="18"/>
  <c r="B23" i="18"/>
  <c r="B32" i="18"/>
  <c r="B120" i="18"/>
  <c r="B52" i="18"/>
  <c r="B87" i="18"/>
  <c r="B89" i="18"/>
  <c r="B7" i="18"/>
  <c r="B44" i="18"/>
  <c r="B122" i="18"/>
  <c r="B37" i="18"/>
  <c r="B39" i="18"/>
  <c r="B41" i="18"/>
  <c r="B96" i="18"/>
  <c r="B97" i="18"/>
  <c r="B99" i="18"/>
  <c r="B101" i="18"/>
  <c r="B103" i="18"/>
  <c r="B114" i="18"/>
  <c r="B102" i="18"/>
  <c r="B104" i="18"/>
  <c r="B105" i="18"/>
  <c r="B16" i="18"/>
  <c r="B22" i="18"/>
  <c r="B29" i="18"/>
  <c r="B36" i="18"/>
  <c r="B43" i="18"/>
  <c r="B51" i="18"/>
  <c r="B124" i="18"/>
  <c r="B14" i="18"/>
  <c r="B26" i="18"/>
  <c r="B115" i="18"/>
  <c r="B40" i="18"/>
  <c r="B47" i="18"/>
  <c r="B5" i="18"/>
  <c r="B12" i="18"/>
  <c r="B18" i="18"/>
  <c r="B92" i="18"/>
  <c r="B100" i="18"/>
  <c r="B85" i="18"/>
  <c r="B86" i="18"/>
  <c r="B71" i="18"/>
  <c r="B57" i="18"/>
  <c r="B119" i="18"/>
  <c r="B72" i="18"/>
  <c r="B56" i="18"/>
  <c r="B108" i="18"/>
  <c r="B116" i="18"/>
  <c r="B80" i="18"/>
  <c r="B83" i="18"/>
  <c r="B62" i="18"/>
  <c r="B66" i="18"/>
  <c r="B78" i="18"/>
  <c r="B55" i="18"/>
  <c r="B118" i="18"/>
  <c r="B79" i="18"/>
  <c r="B58" i="18"/>
  <c r="B121" i="18"/>
  <c r="B77" i="18"/>
  <c r="B61" i="18"/>
  <c r="B67" i="18"/>
  <c r="B70" i="18"/>
  <c r="B60" i="18"/>
  <c r="B106" i="18"/>
  <c r="B73" i="18"/>
  <c r="B82" i="18"/>
  <c r="B54" i="18"/>
  <c r="B64" i="18"/>
  <c r="B125" i="18"/>
  <c r="B65" i="18"/>
  <c r="B126" i="18"/>
  <c r="B69" i="18"/>
  <c r="B123" i="18"/>
  <c r="B63" i="18"/>
  <c r="B76" i="18"/>
  <c r="B110" i="18"/>
  <c r="B21" i="18"/>
  <c r="B3" i="18"/>
  <c r="B17" i="18"/>
  <c r="B9" i="18"/>
  <c r="E29" i="4"/>
  <c r="E109" i="4"/>
  <c r="E106" i="4"/>
  <c r="E103" i="4"/>
  <c r="E100" i="4"/>
  <c r="E97" i="4"/>
  <c r="E94" i="4"/>
  <c r="E91" i="4"/>
  <c r="E88" i="4"/>
  <c r="E85" i="4"/>
  <c r="E82" i="4"/>
  <c r="E79" i="4"/>
  <c r="E76" i="4"/>
  <c r="E73" i="4"/>
  <c r="E70" i="4"/>
  <c r="E67" i="4"/>
  <c r="E64" i="4"/>
  <c r="E61" i="4"/>
  <c r="E58" i="4"/>
  <c r="E55" i="4"/>
  <c r="E52" i="4"/>
  <c r="E49" i="4"/>
  <c r="E46" i="4"/>
  <c r="E43" i="4"/>
  <c r="E40" i="4"/>
  <c r="E35" i="4"/>
  <c r="E32" i="4"/>
  <c r="E26" i="4"/>
  <c r="E23" i="4"/>
  <c r="E20" i="4"/>
  <c r="E17" i="4"/>
  <c r="E14" i="4"/>
  <c r="E11" i="4"/>
  <c r="F7" i="4"/>
  <c r="G7" i="4"/>
  <c r="J22" i="2"/>
  <c r="C34" i="2"/>
  <c r="M7" i="2"/>
  <c r="C31" i="2"/>
  <c r="L7" i="2"/>
  <c r="C28" i="2"/>
  <c r="K7" i="2"/>
  <c r="C25" i="2"/>
  <c r="J7" i="2"/>
  <c r="C22" i="2"/>
  <c r="I7" i="2"/>
  <c r="C19" i="2"/>
  <c r="H7" i="2"/>
  <c r="C16" i="2"/>
  <c r="G7" i="2"/>
  <c r="E42" i="9"/>
  <c r="E39" i="9"/>
  <c r="E36" i="9"/>
  <c r="E33" i="9"/>
  <c r="E26" i="9"/>
  <c r="E23" i="9"/>
  <c r="E20" i="9"/>
  <c r="E17" i="9"/>
  <c r="E14" i="9"/>
  <c r="E11" i="9"/>
  <c r="E17" i="8"/>
  <c r="E14" i="8"/>
  <c r="E11" i="8"/>
  <c r="F7" i="8"/>
  <c r="E29" i="7"/>
  <c r="E26" i="7"/>
  <c r="E23" i="7"/>
  <c r="E20" i="7"/>
  <c r="E17" i="7"/>
  <c r="E14" i="7"/>
  <c r="E11" i="7"/>
  <c r="E24" i="6"/>
  <c r="E21" i="6"/>
  <c r="E18" i="6"/>
  <c r="E15" i="6"/>
  <c r="E12" i="6"/>
  <c r="E155" i="5"/>
  <c r="E152" i="5"/>
  <c r="E147" i="5"/>
  <c r="E144" i="5"/>
  <c r="E139" i="5"/>
  <c r="E136" i="5"/>
  <c r="E131" i="5"/>
  <c r="E127" i="5"/>
  <c r="E123" i="5"/>
  <c r="E119" i="5"/>
  <c r="E116" i="5"/>
  <c r="E113" i="5"/>
  <c r="E110" i="5"/>
  <c r="E107" i="5"/>
  <c r="E104" i="5"/>
  <c r="E101" i="5"/>
  <c r="E98" i="5"/>
  <c r="E92" i="5"/>
  <c r="E89" i="5"/>
  <c r="E86" i="5"/>
  <c r="E83" i="5"/>
  <c r="E80" i="5"/>
  <c r="E77" i="5"/>
  <c r="E74" i="5"/>
  <c r="E71" i="5"/>
  <c r="E68" i="5"/>
  <c r="E63" i="5"/>
  <c r="E60" i="5"/>
  <c r="E57" i="5"/>
  <c r="E54" i="5"/>
  <c r="E51" i="5"/>
  <c r="E43" i="5"/>
  <c r="E35" i="5"/>
  <c r="E32" i="5"/>
  <c r="E29" i="5"/>
  <c r="E26" i="5"/>
  <c r="E23" i="5"/>
  <c r="E20" i="5"/>
  <c r="E17" i="5"/>
  <c r="E14" i="5"/>
  <c r="E11" i="5"/>
  <c r="E11" i="3"/>
  <c r="E83" i="3"/>
  <c r="E80" i="3"/>
  <c r="E77" i="3"/>
  <c r="E74" i="3"/>
  <c r="E71" i="3"/>
  <c r="E68" i="3"/>
  <c r="E65" i="3"/>
  <c r="E62" i="3"/>
  <c r="E59" i="3"/>
  <c r="E56" i="3"/>
  <c r="E53" i="3"/>
  <c r="E50" i="3"/>
  <c r="E47" i="3"/>
  <c r="E44" i="3"/>
  <c r="E41" i="3"/>
  <c r="E38" i="3"/>
  <c r="E35" i="3"/>
  <c r="E29" i="3"/>
  <c r="E26" i="3"/>
  <c r="E23" i="3"/>
  <c r="E20" i="3"/>
  <c r="E17" i="3"/>
  <c r="E14" i="3"/>
  <c r="F7" i="9"/>
  <c r="G7" i="9"/>
  <c r="H7" i="9"/>
  <c r="M8" i="2"/>
  <c r="I7" i="9"/>
  <c r="I7" i="8"/>
  <c r="G7" i="8"/>
  <c r="H7" i="8"/>
  <c r="L8" i="2"/>
  <c r="I7" i="7"/>
  <c r="F7" i="6"/>
  <c r="F7" i="5"/>
  <c r="I7" i="3"/>
  <c r="G7" i="7"/>
  <c r="F7" i="7"/>
  <c r="H7" i="7"/>
  <c r="K8" i="2"/>
  <c r="I7" i="6"/>
  <c r="J8" i="2"/>
  <c r="G7" i="6"/>
  <c r="H7" i="6"/>
  <c r="I7" i="5"/>
  <c r="G7" i="5"/>
  <c r="H7" i="5"/>
  <c r="H7" i="4"/>
  <c r="H8" i="2"/>
  <c r="I7" i="4"/>
  <c r="G7" i="3"/>
  <c r="F7" i="3"/>
  <c r="H7" i="3"/>
  <c r="I8" i="2"/>
  <c r="G8" i="2"/>
  <c r="E116" i="14"/>
  <c r="E113" i="14"/>
  <c r="E106" i="14"/>
  <c r="E101" i="14"/>
  <c r="E59" i="14"/>
  <c r="E26" i="14"/>
  <c r="E2" i="14"/>
  <c r="E3" i="14"/>
  <c r="E4" i="14"/>
  <c r="E5" i="14"/>
  <c r="E6" i="14"/>
  <c r="E7" i="14"/>
  <c r="E8" i="14"/>
  <c r="E9" i="14"/>
  <c r="E10" i="14"/>
  <c r="E11" i="14"/>
  <c r="E12" i="14"/>
  <c r="E13" i="14"/>
  <c r="E14" i="14"/>
  <c r="E15" i="14"/>
  <c r="E16" i="14"/>
  <c r="E17" i="14"/>
  <c r="E18" i="14"/>
  <c r="E19" i="14"/>
  <c r="E20" i="14"/>
  <c r="E21" i="14"/>
  <c r="E22" i="14"/>
  <c r="E23" i="14"/>
  <c r="E24" i="14"/>
  <c r="E25"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H2"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c r="N126" i="14"/>
  <c r="M126" i="14"/>
  <c r="K126" i="14"/>
  <c r="C126" i="14"/>
  <c r="N125" i="14"/>
  <c r="M125" i="14"/>
  <c r="K125" i="14"/>
  <c r="C125" i="14"/>
  <c r="N124" i="14"/>
  <c r="M124" i="14"/>
  <c r="K124" i="14"/>
  <c r="C124" i="14"/>
  <c r="N123" i="14"/>
  <c r="M123" i="14"/>
  <c r="K123" i="14"/>
  <c r="C123" i="14"/>
  <c r="N122" i="14"/>
  <c r="M122" i="14"/>
  <c r="K122" i="14"/>
  <c r="C122" i="14"/>
  <c r="N121" i="14"/>
  <c r="M121" i="14"/>
  <c r="K121" i="14"/>
  <c r="C121" i="14"/>
  <c r="N120" i="14"/>
  <c r="M120" i="14"/>
  <c r="K120" i="14"/>
  <c r="C120" i="14"/>
  <c r="N119" i="14"/>
  <c r="M119" i="14"/>
  <c r="K119" i="14"/>
  <c r="C119" i="14"/>
  <c r="N118" i="14"/>
  <c r="M118" i="14"/>
  <c r="K118" i="14"/>
  <c r="C118" i="14"/>
  <c r="N117" i="14"/>
  <c r="M117" i="14"/>
  <c r="K117" i="14"/>
  <c r="C117" i="14"/>
  <c r="N116" i="14"/>
  <c r="M116" i="14"/>
  <c r="K116" i="14"/>
  <c r="C116" i="14"/>
  <c r="N115" i="14"/>
  <c r="M115" i="14"/>
  <c r="K115" i="14"/>
  <c r="C115" i="14"/>
  <c r="N114" i="14"/>
  <c r="M114" i="14"/>
  <c r="K114" i="14"/>
  <c r="C114" i="14"/>
  <c r="N113" i="14"/>
  <c r="M113" i="14"/>
  <c r="K113" i="14"/>
  <c r="C113" i="14"/>
  <c r="N112" i="14"/>
  <c r="M112" i="14"/>
  <c r="K112" i="14"/>
  <c r="C112" i="14"/>
  <c r="N111" i="14"/>
  <c r="M111" i="14"/>
  <c r="K111" i="14"/>
  <c r="C111" i="14"/>
  <c r="N110" i="14"/>
  <c r="M110" i="14"/>
  <c r="K110" i="14"/>
  <c r="C110" i="14"/>
  <c r="N109" i="14"/>
  <c r="M109" i="14"/>
  <c r="K109" i="14"/>
  <c r="C109" i="14"/>
  <c r="N108" i="14"/>
  <c r="M108" i="14"/>
  <c r="K108" i="14"/>
  <c r="C108" i="14"/>
  <c r="N107" i="14"/>
  <c r="M107" i="14"/>
  <c r="K107" i="14"/>
  <c r="C107" i="14"/>
  <c r="N106" i="14"/>
  <c r="M106" i="14"/>
  <c r="K106" i="14"/>
  <c r="C106" i="14"/>
  <c r="N105" i="14"/>
  <c r="M105" i="14"/>
  <c r="K105" i="14"/>
  <c r="C105" i="14"/>
  <c r="N104" i="14"/>
  <c r="M104" i="14"/>
  <c r="K104" i="14"/>
  <c r="C104" i="14"/>
  <c r="N103" i="14"/>
  <c r="M103" i="14"/>
  <c r="K103" i="14"/>
  <c r="C103" i="14"/>
  <c r="N102" i="14"/>
  <c r="M102" i="14"/>
  <c r="K102" i="14"/>
  <c r="C102" i="14"/>
  <c r="N101" i="14"/>
  <c r="M101" i="14"/>
  <c r="K101" i="14"/>
  <c r="C101" i="14"/>
  <c r="N100" i="14"/>
  <c r="M100" i="14"/>
  <c r="K100" i="14"/>
  <c r="C100" i="14"/>
  <c r="N99" i="14"/>
  <c r="M99" i="14"/>
  <c r="K99" i="14"/>
  <c r="C99" i="14"/>
  <c r="N98" i="14"/>
  <c r="M98" i="14"/>
  <c r="K98" i="14"/>
  <c r="C98" i="14"/>
  <c r="N97" i="14"/>
  <c r="M97" i="14"/>
  <c r="K97" i="14"/>
  <c r="C97" i="14"/>
  <c r="N96" i="14"/>
  <c r="M96" i="14"/>
  <c r="K96" i="14"/>
  <c r="C96" i="14"/>
  <c r="N95" i="14"/>
  <c r="M95" i="14"/>
  <c r="K95" i="14"/>
  <c r="C95" i="14"/>
  <c r="N94" i="14"/>
  <c r="M94" i="14"/>
  <c r="K94" i="14"/>
  <c r="C94" i="14"/>
  <c r="N93" i="14"/>
  <c r="M93" i="14"/>
  <c r="K93" i="14"/>
  <c r="C93" i="14"/>
  <c r="N92" i="14"/>
  <c r="M92" i="14"/>
  <c r="K92" i="14"/>
  <c r="C92" i="14"/>
  <c r="N91" i="14"/>
  <c r="M91" i="14"/>
  <c r="K91" i="14"/>
  <c r="C91" i="14"/>
  <c r="N90" i="14"/>
  <c r="M90" i="14"/>
  <c r="K90" i="14"/>
  <c r="C90" i="14"/>
  <c r="N89" i="14"/>
  <c r="M89" i="14"/>
  <c r="K89" i="14"/>
  <c r="C89" i="14"/>
  <c r="N88" i="14"/>
  <c r="M88" i="14"/>
  <c r="K88" i="14"/>
  <c r="C88" i="14"/>
  <c r="N87" i="14"/>
  <c r="M87" i="14"/>
  <c r="K87" i="14"/>
  <c r="C87" i="14"/>
  <c r="N86" i="14"/>
  <c r="M86" i="14"/>
  <c r="K86" i="14"/>
  <c r="C86" i="14"/>
  <c r="N85" i="14"/>
  <c r="M85" i="14"/>
  <c r="K85" i="14"/>
  <c r="C85" i="14"/>
  <c r="N84" i="14"/>
  <c r="M84" i="14"/>
  <c r="K84" i="14"/>
  <c r="C84" i="14"/>
  <c r="N83" i="14"/>
  <c r="M83" i="14"/>
  <c r="K83" i="14"/>
  <c r="C83" i="14"/>
  <c r="N82" i="14"/>
  <c r="M82" i="14"/>
  <c r="K82" i="14"/>
  <c r="C82" i="14"/>
  <c r="N81" i="14"/>
  <c r="M81" i="14"/>
  <c r="K81" i="14"/>
  <c r="C81" i="14"/>
  <c r="N80" i="14"/>
  <c r="M80" i="14"/>
  <c r="K80" i="14"/>
  <c r="C80" i="14"/>
  <c r="N79" i="14"/>
  <c r="M79" i="14"/>
  <c r="K79" i="14"/>
  <c r="C79" i="14"/>
  <c r="N78" i="14"/>
  <c r="M78" i="14"/>
  <c r="K78" i="14"/>
  <c r="C78" i="14"/>
  <c r="N77" i="14"/>
  <c r="M77" i="14"/>
  <c r="K77" i="14"/>
  <c r="C77" i="14"/>
  <c r="N76" i="14"/>
  <c r="M76" i="14"/>
  <c r="K76" i="14"/>
  <c r="C76" i="14"/>
  <c r="N75" i="14"/>
  <c r="M75" i="14"/>
  <c r="K75" i="14"/>
  <c r="C75" i="14"/>
  <c r="N74" i="14"/>
  <c r="M74" i="14"/>
  <c r="K74" i="14"/>
  <c r="C74" i="14"/>
  <c r="N73" i="14"/>
  <c r="M73" i="14"/>
  <c r="K73" i="14"/>
  <c r="C73" i="14"/>
  <c r="N72" i="14"/>
  <c r="M72" i="14"/>
  <c r="K72" i="14"/>
  <c r="C72" i="14"/>
  <c r="N71" i="14"/>
  <c r="M71" i="14"/>
  <c r="K71" i="14"/>
  <c r="C71" i="14"/>
  <c r="N70" i="14"/>
  <c r="M70" i="14"/>
  <c r="K70" i="14"/>
  <c r="C70" i="14"/>
  <c r="N69" i="14"/>
  <c r="M69" i="14"/>
  <c r="K69" i="14"/>
  <c r="C69" i="14"/>
  <c r="N68" i="14"/>
  <c r="M68" i="14"/>
  <c r="K68" i="14"/>
  <c r="C68" i="14"/>
  <c r="N67" i="14"/>
  <c r="M67" i="14"/>
  <c r="K67" i="14"/>
  <c r="C67" i="14"/>
  <c r="N66" i="14"/>
  <c r="M66" i="14"/>
  <c r="K66" i="14"/>
  <c r="C66" i="14"/>
  <c r="N65" i="14"/>
  <c r="M65" i="14"/>
  <c r="K65" i="14"/>
  <c r="C65" i="14"/>
  <c r="N64" i="14"/>
  <c r="M64" i="14"/>
  <c r="K64" i="14"/>
  <c r="C64" i="14"/>
  <c r="N63" i="14"/>
  <c r="M63" i="14"/>
  <c r="K63" i="14"/>
  <c r="C63" i="14"/>
  <c r="N62" i="14"/>
  <c r="M62" i="14"/>
  <c r="K62" i="14"/>
  <c r="C62" i="14"/>
  <c r="N61" i="14"/>
  <c r="M61" i="14"/>
  <c r="K61" i="14"/>
  <c r="C61" i="14"/>
  <c r="N60" i="14"/>
  <c r="M60" i="14"/>
  <c r="K60" i="14"/>
  <c r="C60" i="14"/>
  <c r="N59" i="14"/>
  <c r="M59" i="14"/>
  <c r="K59" i="14"/>
  <c r="C59" i="14"/>
  <c r="N58" i="14"/>
  <c r="M58" i="14"/>
  <c r="K58" i="14"/>
  <c r="C58" i="14"/>
  <c r="N57" i="14"/>
  <c r="M57" i="14"/>
  <c r="K57" i="14"/>
  <c r="C57" i="14"/>
  <c r="N56" i="14"/>
  <c r="M56" i="14"/>
  <c r="K56" i="14"/>
  <c r="C56" i="14"/>
  <c r="N55" i="14"/>
  <c r="M55" i="14"/>
  <c r="K55" i="14"/>
  <c r="C55" i="14"/>
  <c r="N54" i="14"/>
  <c r="M54" i="14"/>
  <c r="K54" i="14"/>
  <c r="C54" i="14"/>
  <c r="N53" i="14"/>
  <c r="M53" i="14"/>
  <c r="K53" i="14"/>
  <c r="C53" i="14"/>
  <c r="N52" i="14"/>
  <c r="M52" i="14"/>
  <c r="K52" i="14"/>
  <c r="C52" i="14"/>
  <c r="N51" i="14"/>
  <c r="M51" i="14"/>
  <c r="K51" i="14"/>
  <c r="C51" i="14"/>
  <c r="N50" i="14"/>
  <c r="M50" i="14"/>
  <c r="K50" i="14"/>
  <c r="C50" i="14"/>
  <c r="N49" i="14"/>
  <c r="M49" i="14"/>
  <c r="K49" i="14"/>
  <c r="C49" i="14"/>
  <c r="N48" i="14"/>
  <c r="M48" i="14"/>
  <c r="K48" i="14"/>
  <c r="C48" i="14"/>
  <c r="N47" i="14"/>
  <c r="M47" i="14"/>
  <c r="K47" i="14"/>
  <c r="C47" i="14"/>
  <c r="N46" i="14"/>
  <c r="M46" i="14"/>
  <c r="K46" i="14"/>
  <c r="C46" i="14"/>
  <c r="N45" i="14"/>
  <c r="M45" i="14"/>
  <c r="K45" i="14"/>
  <c r="C45" i="14"/>
  <c r="N44" i="14"/>
  <c r="M44" i="14"/>
  <c r="K44" i="14"/>
  <c r="C44" i="14"/>
  <c r="N43" i="14"/>
  <c r="M43" i="14"/>
  <c r="K43" i="14"/>
  <c r="C43" i="14"/>
  <c r="N42" i="14"/>
  <c r="M42" i="14"/>
  <c r="K42" i="14"/>
  <c r="C42" i="14"/>
  <c r="N41" i="14"/>
  <c r="M41" i="14"/>
  <c r="K41" i="14"/>
  <c r="C41" i="14"/>
  <c r="N40" i="14"/>
  <c r="M40" i="14"/>
  <c r="K40" i="14"/>
  <c r="C40" i="14"/>
  <c r="N39" i="14"/>
  <c r="M39" i="14"/>
  <c r="K39" i="14"/>
  <c r="C39" i="14"/>
  <c r="N38" i="14"/>
  <c r="M38" i="14"/>
  <c r="K38" i="14"/>
  <c r="C38" i="14"/>
  <c r="N37" i="14"/>
  <c r="M37" i="14"/>
  <c r="K37" i="14"/>
  <c r="C37" i="14"/>
  <c r="N36" i="14"/>
  <c r="M36" i="14"/>
  <c r="K36" i="14"/>
  <c r="C36" i="14"/>
  <c r="N35" i="14"/>
  <c r="M35" i="14"/>
  <c r="K35" i="14"/>
  <c r="C35" i="14"/>
  <c r="N34" i="14"/>
  <c r="M34" i="14"/>
  <c r="K34" i="14"/>
  <c r="C34" i="14"/>
  <c r="N33" i="14"/>
  <c r="M33" i="14"/>
  <c r="K33" i="14"/>
  <c r="C33" i="14"/>
  <c r="N32" i="14"/>
  <c r="M32" i="14"/>
  <c r="K32" i="14"/>
  <c r="C32" i="14"/>
  <c r="N31" i="14"/>
  <c r="M31" i="14"/>
  <c r="K31" i="14"/>
  <c r="C31" i="14"/>
  <c r="N30" i="14"/>
  <c r="M30" i="14"/>
  <c r="K30" i="14"/>
  <c r="C30" i="14"/>
  <c r="N29" i="14"/>
  <c r="M29" i="14"/>
  <c r="K29" i="14"/>
  <c r="C29" i="14"/>
  <c r="N28" i="14"/>
  <c r="M28" i="14"/>
  <c r="K28" i="14"/>
  <c r="C28" i="14"/>
  <c r="N27" i="14"/>
  <c r="M27" i="14"/>
  <c r="K27" i="14"/>
  <c r="C27" i="14"/>
  <c r="N26" i="14"/>
  <c r="M26" i="14"/>
  <c r="K26" i="14"/>
  <c r="C26" i="14"/>
  <c r="N25" i="14"/>
  <c r="M25" i="14"/>
  <c r="K25" i="14"/>
  <c r="C25" i="14"/>
  <c r="N24" i="14"/>
  <c r="M24" i="14"/>
  <c r="K24" i="14"/>
  <c r="C24" i="14"/>
  <c r="N23" i="14"/>
  <c r="M23" i="14"/>
  <c r="K23" i="14"/>
  <c r="C23" i="14"/>
  <c r="N22" i="14"/>
  <c r="M22" i="14"/>
  <c r="K22" i="14"/>
  <c r="C22" i="14"/>
  <c r="N21" i="14"/>
  <c r="M21" i="14"/>
  <c r="K21" i="14"/>
  <c r="C21" i="14"/>
  <c r="N20" i="14"/>
  <c r="M20" i="14"/>
  <c r="K20" i="14"/>
  <c r="C20" i="14"/>
  <c r="N19" i="14"/>
  <c r="M19" i="14"/>
  <c r="K19" i="14"/>
  <c r="C19" i="14"/>
  <c r="N18" i="14"/>
  <c r="M18" i="14"/>
  <c r="K18" i="14"/>
  <c r="C18" i="14"/>
  <c r="N17" i="14"/>
  <c r="M17" i="14"/>
  <c r="K17" i="14"/>
  <c r="C17" i="14"/>
  <c r="N16" i="14"/>
  <c r="M16" i="14"/>
  <c r="K16" i="14"/>
  <c r="C16" i="14"/>
  <c r="N15" i="14"/>
  <c r="M15" i="14"/>
  <c r="K15" i="14"/>
  <c r="C15" i="14"/>
  <c r="N14" i="14"/>
  <c r="M14" i="14"/>
  <c r="K14" i="14"/>
  <c r="C14" i="14"/>
  <c r="N13" i="14"/>
  <c r="M13" i="14"/>
  <c r="K13" i="14"/>
  <c r="C13" i="14"/>
  <c r="N12" i="14"/>
  <c r="M12" i="14"/>
  <c r="K12" i="14"/>
  <c r="C12" i="14"/>
  <c r="N11" i="14"/>
  <c r="M11" i="14"/>
  <c r="K11" i="14"/>
  <c r="C11" i="14"/>
  <c r="N10" i="14"/>
  <c r="M10" i="14"/>
  <c r="K10" i="14"/>
  <c r="C10" i="14"/>
  <c r="N9" i="14"/>
  <c r="M9" i="14"/>
  <c r="K9" i="14"/>
  <c r="C9" i="14"/>
  <c r="N8" i="14"/>
  <c r="M8" i="14"/>
  <c r="K8" i="14"/>
  <c r="C8" i="14"/>
  <c r="N7" i="14"/>
  <c r="M7" i="14"/>
  <c r="K7" i="14"/>
  <c r="C7" i="14"/>
  <c r="N6" i="14"/>
  <c r="M6" i="14"/>
  <c r="K6" i="14"/>
  <c r="C6" i="14"/>
  <c r="N5" i="14"/>
  <c r="M5" i="14"/>
  <c r="G5" i="14"/>
  <c r="K5" i="14"/>
  <c r="C5" i="14"/>
  <c r="N4" i="14"/>
  <c r="M4" i="14"/>
  <c r="K4" i="14"/>
  <c r="C4" i="14"/>
  <c r="N3" i="14"/>
  <c r="M3" i="14"/>
  <c r="K3" i="14"/>
  <c r="C3" i="14"/>
  <c r="N2" i="14"/>
  <c r="M2" i="14"/>
  <c r="K2" i="14"/>
  <c r="C2" i="14"/>
  <c r="J29" i="4"/>
  <c r="J29" i="7"/>
  <c r="J42" i="9"/>
  <c r="L126" i="13"/>
  <c r="J39" i="9"/>
  <c r="L125" i="13"/>
  <c r="J36" i="9"/>
  <c r="L124" i="13"/>
  <c r="J33" i="9"/>
  <c r="J29" i="9"/>
  <c r="J26" i="9"/>
  <c r="J23" i="9"/>
  <c r="J20" i="9"/>
  <c r="J17" i="9"/>
  <c r="L118" i="13"/>
  <c r="J14" i="9"/>
  <c r="L117" i="13"/>
  <c r="J11" i="9"/>
  <c r="J17" i="8"/>
  <c r="J14" i="8"/>
  <c r="J11" i="8"/>
  <c r="J26" i="7"/>
  <c r="J23" i="7"/>
  <c r="J20" i="7"/>
  <c r="L109" i="13"/>
  <c r="J17" i="7"/>
  <c r="L108" i="13"/>
  <c r="J14" i="7"/>
  <c r="L107" i="13"/>
  <c r="J11" i="7"/>
  <c r="L106" i="13"/>
  <c r="J24" i="6"/>
  <c r="J21" i="6"/>
  <c r="J18" i="6"/>
  <c r="J15" i="6"/>
  <c r="J12" i="6"/>
  <c r="L101" i="13"/>
  <c r="J155" i="5"/>
  <c r="J152" i="5"/>
  <c r="J147" i="5"/>
  <c r="J144" i="5"/>
  <c r="J139" i="5"/>
  <c r="J136" i="5"/>
  <c r="J131" i="5"/>
  <c r="J127" i="5"/>
  <c r="L93" i="13"/>
  <c r="J123" i="5"/>
  <c r="L92" i="13"/>
  <c r="J119" i="5"/>
  <c r="L91" i="13"/>
  <c r="J116" i="5"/>
  <c r="L90" i="13"/>
  <c r="J113" i="5"/>
  <c r="J110" i="5"/>
  <c r="J107" i="5"/>
  <c r="J104" i="5"/>
  <c r="J101" i="5"/>
  <c r="L85" i="13"/>
  <c r="J98" i="5"/>
  <c r="J95" i="5"/>
  <c r="J92" i="5"/>
  <c r="L82" i="13"/>
  <c r="J89" i="5"/>
  <c r="J86" i="5"/>
  <c r="J83" i="5"/>
  <c r="J80" i="5"/>
  <c r="J77" i="5"/>
  <c r="L77" i="13"/>
  <c r="J74" i="5"/>
  <c r="J71" i="5"/>
  <c r="L75" i="13"/>
  <c r="J68" i="5"/>
  <c r="J63" i="5"/>
  <c r="J60" i="5"/>
  <c r="J57" i="5"/>
  <c r="J54" i="5"/>
  <c r="J51" i="5"/>
  <c r="L69" i="13"/>
  <c r="J43" i="5"/>
  <c r="L68" i="13"/>
  <c r="J35" i="5"/>
  <c r="J32" i="5"/>
  <c r="L66" i="13"/>
  <c r="J29" i="5"/>
  <c r="J26" i="5"/>
  <c r="J23" i="5"/>
  <c r="J20" i="5"/>
  <c r="J17" i="5"/>
  <c r="L61" i="13"/>
  <c r="J14" i="5"/>
  <c r="J11" i="5"/>
  <c r="J109" i="4"/>
  <c r="L58" i="13"/>
  <c r="J106" i="4"/>
  <c r="J103" i="4"/>
  <c r="J100" i="4"/>
  <c r="J97" i="4"/>
  <c r="J94" i="4"/>
  <c r="N113" i="18"/>
  <c r="J91" i="4"/>
  <c r="L52" i="13"/>
  <c r="J88" i="4"/>
  <c r="J85" i="4"/>
  <c r="L50" i="13"/>
  <c r="J82" i="4"/>
  <c r="J79" i="4"/>
  <c r="J76" i="4"/>
  <c r="J73" i="4"/>
  <c r="J70" i="4"/>
  <c r="L45" i="13"/>
  <c r="J67" i="4"/>
  <c r="J64" i="4"/>
  <c r="L43" i="13"/>
  <c r="J61" i="4"/>
  <c r="L42" i="13"/>
  <c r="J58" i="4"/>
  <c r="J55" i="4"/>
  <c r="J52" i="4"/>
  <c r="J46" i="4"/>
  <c r="J49" i="4"/>
  <c r="L38" i="13"/>
  <c r="J32" i="4"/>
  <c r="J43" i="4"/>
  <c r="J40" i="4"/>
  <c r="J35" i="4"/>
  <c r="J26" i="4"/>
  <c r="J23" i="4"/>
  <c r="J20" i="4"/>
  <c r="J17" i="4"/>
  <c r="J14" i="4"/>
  <c r="J11" i="4"/>
  <c r="J83" i="3"/>
  <c r="J80" i="3"/>
  <c r="J77" i="3"/>
  <c r="J74" i="3"/>
  <c r="J71" i="3"/>
  <c r="J68" i="3"/>
  <c r="J65" i="3"/>
  <c r="J62" i="3"/>
  <c r="J59" i="3"/>
  <c r="J56" i="3"/>
  <c r="J53" i="3"/>
  <c r="J50" i="3"/>
  <c r="J47" i="3"/>
  <c r="J44" i="3"/>
  <c r="J12" i="14"/>
  <c r="J41" i="3"/>
  <c r="J38" i="3"/>
  <c r="J35" i="3"/>
  <c r="J29" i="3"/>
  <c r="J23" i="3"/>
  <c r="J20" i="3"/>
  <c r="J17" i="3"/>
  <c r="J14" i="3"/>
  <c r="J11" i="3"/>
  <c r="P62" i="14"/>
  <c r="G64" i="14"/>
  <c r="P78" i="14"/>
  <c r="P10" i="14"/>
  <c r="P14" i="14"/>
  <c r="P18" i="14"/>
  <c r="P22" i="14"/>
  <c r="P82" i="14"/>
  <c r="J122" i="14"/>
  <c r="N102" i="18"/>
  <c r="J123" i="14"/>
  <c r="N103" i="18"/>
  <c r="L116" i="13"/>
  <c r="N109" i="18"/>
  <c r="J124" i="14"/>
  <c r="N104" i="18"/>
  <c r="J117" i="14"/>
  <c r="N97" i="18"/>
  <c r="J125" i="14"/>
  <c r="N114" i="18"/>
  <c r="J116" i="14"/>
  <c r="J121" i="14"/>
  <c r="N101" i="18"/>
  <c r="J118" i="14"/>
  <c r="N98" i="18"/>
  <c r="J126" i="14"/>
  <c r="N105" i="18"/>
  <c r="J119" i="14"/>
  <c r="N99" i="18"/>
  <c r="L120" i="13"/>
  <c r="N100" i="18"/>
  <c r="J115" i="14"/>
  <c r="N96" i="18"/>
  <c r="J113" i="14"/>
  <c r="N94" i="18"/>
  <c r="J114" i="14"/>
  <c r="N95" i="18"/>
  <c r="L114" i="13"/>
  <c r="J106" i="14"/>
  <c r="N87" i="18"/>
  <c r="J107" i="14"/>
  <c r="N88" i="18"/>
  <c r="J108" i="14"/>
  <c r="N89" i="18"/>
  <c r="J109" i="14"/>
  <c r="N90" i="18"/>
  <c r="J110" i="14"/>
  <c r="N91" i="18"/>
  <c r="L112" i="13"/>
  <c r="N93" i="18"/>
  <c r="J111" i="14"/>
  <c r="N92" i="18"/>
  <c r="J105" i="14"/>
  <c r="N112" i="18"/>
  <c r="J101" i="14"/>
  <c r="N124" i="18"/>
  <c r="L102" i="13"/>
  <c r="N84" i="18"/>
  <c r="J104" i="14"/>
  <c r="N86" i="18"/>
  <c r="J103" i="14"/>
  <c r="N85" i="18"/>
  <c r="J84" i="14"/>
  <c r="N70" i="18"/>
  <c r="L84" i="13"/>
  <c r="L64" i="13"/>
  <c r="N57" i="18"/>
  <c r="J72" i="14"/>
  <c r="N62" i="18"/>
  <c r="J80" i="14"/>
  <c r="N66" i="18"/>
  <c r="J88" i="14"/>
  <c r="N74" i="18"/>
  <c r="L96" i="13"/>
  <c r="N79" i="18"/>
  <c r="J60" i="14"/>
  <c r="N54" i="18"/>
  <c r="J92" i="14"/>
  <c r="N125" i="18"/>
  <c r="L60" i="13"/>
  <c r="J65" i="14"/>
  <c r="N58" i="18"/>
  <c r="J73" i="14"/>
  <c r="N107" i="18"/>
  <c r="J81" i="14"/>
  <c r="N67" i="18"/>
  <c r="J89" i="14"/>
  <c r="N117" i="18"/>
  <c r="J97" i="14"/>
  <c r="N80" i="18"/>
  <c r="J74" i="14"/>
  <c r="N108" i="18"/>
  <c r="J98" i="14"/>
  <c r="N81" i="18"/>
  <c r="L74" i="13"/>
  <c r="J59" i="14"/>
  <c r="N123" i="18"/>
  <c r="J67" i="14"/>
  <c r="N60" i="18"/>
  <c r="J75" i="14"/>
  <c r="N63" i="18"/>
  <c r="J83" i="14"/>
  <c r="N69" i="18"/>
  <c r="J91" i="14"/>
  <c r="N76" i="18"/>
  <c r="J99" i="14"/>
  <c r="N82" i="18"/>
  <c r="J90" i="14"/>
  <c r="N75" i="18"/>
  <c r="J76" i="14"/>
  <c r="N64" i="18"/>
  <c r="L59" i="13"/>
  <c r="L76" i="13"/>
  <c r="J61" i="14"/>
  <c r="N55" i="18"/>
  <c r="J69" i="14"/>
  <c r="N122" i="18"/>
  <c r="J77" i="14"/>
  <c r="N118" i="18"/>
  <c r="J85" i="14"/>
  <c r="N71" i="18"/>
  <c r="J93" i="14"/>
  <c r="N77" i="18"/>
  <c r="J66" i="14"/>
  <c r="N59" i="18"/>
  <c r="J82" i="14"/>
  <c r="N68" i="18"/>
  <c r="J68" i="14"/>
  <c r="N121" i="18"/>
  <c r="J100" i="14"/>
  <c r="N83" i="18"/>
  <c r="L98" i="13"/>
  <c r="L62" i="13"/>
  <c r="N116" i="18"/>
  <c r="J70" i="14"/>
  <c r="N61" i="18"/>
  <c r="L78" i="13"/>
  <c r="N119" i="18"/>
  <c r="J86" i="14"/>
  <c r="N72" i="18"/>
  <c r="J94" i="14"/>
  <c r="N78" i="18"/>
  <c r="L100" i="13"/>
  <c r="J63" i="14"/>
  <c r="N56" i="18"/>
  <c r="J71" i="14"/>
  <c r="N106" i="18"/>
  <c r="J79" i="14"/>
  <c r="N65" i="18"/>
  <c r="J87" i="14"/>
  <c r="N73" i="18"/>
  <c r="J95" i="14"/>
  <c r="N126" i="18"/>
  <c r="P26" i="14"/>
  <c r="L53" i="13"/>
  <c r="L16" i="13"/>
  <c r="N14" i="18"/>
  <c r="L9" i="13"/>
  <c r="N111" i="18"/>
  <c r="L17" i="13"/>
  <c r="N15" i="18"/>
  <c r="L25" i="13"/>
  <c r="N23" i="18"/>
  <c r="J2" i="14"/>
  <c r="N2" i="18"/>
  <c r="L3" i="13"/>
  <c r="N3" i="18"/>
  <c r="L20" i="13"/>
  <c r="N18" i="18"/>
  <c r="L4" i="13"/>
  <c r="N4" i="18"/>
  <c r="L12" i="13"/>
  <c r="N10" i="18"/>
  <c r="L5" i="13"/>
  <c r="N5" i="18"/>
  <c r="L13" i="13"/>
  <c r="N11" i="18"/>
  <c r="L21" i="13"/>
  <c r="N19" i="18"/>
  <c r="L8" i="13"/>
  <c r="N7" i="18"/>
  <c r="L10" i="13"/>
  <c r="N8" i="18"/>
  <c r="J11" i="14"/>
  <c r="N9" i="18"/>
  <c r="L18" i="13"/>
  <c r="N16" i="18"/>
  <c r="J19" i="14"/>
  <c r="N17" i="18"/>
  <c r="J6" i="14"/>
  <c r="N6" i="18"/>
  <c r="J14" i="14"/>
  <c r="N12" i="18"/>
  <c r="L22" i="13"/>
  <c r="N20" i="18"/>
  <c r="L7" i="13"/>
  <c r="N110" i="18"/>
  <c r="L15" i="13"/>
  <c r="N13" i="18"/>
  <c r="L23" i="13"/>
  <c r="N21" i="18"/>
  <c r="J3" i="14"/>
  <c r="L24" i="13"/>
  <c r="N22" i="18"/>
  <c r="J44" i="14"/>
  <c r="N40" i="18"/>
  <c r="L28" i="13"/>
  <c r="N26" i="18"/>
  <c r="J38" i="14"/>
  <c r="N34" i="18"/>
  <c r="J45" i="14"/>
  <c r="N41" i="18"/>
  <c r="P38" i="14"/>
  <c r="L37" i="13"/>
  <c r="N33" i="18"/>
  <c r="J46" i="14"/>
  <c r="N42" i="18"/>
  <c r="J54" i="14"/>
  <c r="N49" i="18"/>
  <c r="J28" i="14"/>
  <c r="P42" i="14"/>
  <c r="J30" i="14"/>
  <c r="N28" i="18"/>
  <c r="J39" i="14"/>
  <c r="N35" i="18"/>
  <c r="J47" i="14"/>
  <c r="N43" i="18"/>
  <c r="J55" i="14"/>
  <c r="N50" i="18"/>
  <c r="L32" i="13"/>
  <c r="N30" i="18"/>
  <c r="P54" i="14"/>
  <c r="L31" i="13"/>
  <c r="N29" i="18"/>
  <c r="L40" i="13"/>
  <c r="N36" i="18"/>
  <c r="L48" i="13"/>
  <c r="N44" i="18"/>
  <c r="L56" i="13"/>
  <c r="N51" i="18"/>
  <c r="L44" i="13"/>
  <c r="J34" i="14"/>
  <c r="N32" i="18"/>
  <c r="L41" i="13"/>
  <c r="N37" i="18"/>
  <c r="L49" i="13"/>
  <c r="N45" i="18"/>
  <c r="J57" i="14"/>
  <c r="N52" i="18"/>
  <c r="J29" i="14"/>
  <c r="N27" i="18"/>
  <c r="J35" i="14"/>
  <c r="N115" i="18"/>
  <c r="J42" i="14"/>
  <c r="N38" i="18"/>
  <c r="J50" i="14"/>
  <c r="N46" i="18"/>
  <c r="J58" i="14"/>
  <c r="N53" i="18"/>
  <c r="J33" i="14"/>
  <c r="N31" i="18"/>
  <c r="L33" i="13"/>
  <c r="L26" i="13"/>
  <c r="N24" i="18"/>
  <c r="J36" i="14"/>
  <c r="N120" i="18"/>
  <c r="J43" i="14"/>
  <c r="N39" i="18"/>
  <c r="J51" i="14"/>
  <c r="N47" i="18"/>
  <c r="J41" i="14"/>
  <c r="L27" i="13"/>
  <c r="N25" i="18"/>
  <c r="J52" i="14"/>
  <c r="N48" i="18"/>
  <c r="J53" i="14"/>
  <c r="P126" i="14"/>
  <c r="P102" i="14"/>
  <c r="P71" i="14"/>
  <c r="P75" i="14"/>
  <c r="J5" i="14"/>
  <c r="J16" i="14"/>
  <c r="P58" i="14"/>
  <c r="P94" i="14"/>
  <c r="P98" i="14"/>
  <c r="J20" i="14"/>
  <c r="J40" i="14"/>
  <c r="J56" i="14"/>
  <c r="P106" i="14"/>
  <c r="L34" i="13"/>
  <c r="L51" i="13"/>
  <c r="L67" i="13"/>
  <c r="L83" i="13"/>
  <c r="L99" i="13"/>
  <c r="J49" i="14"/>
  <c r="P110" i="14"/>
  <c r="P114" i="14"/>
  <c r="L36" i="13"/>
  <c r="J4" i="14"/>
  <c r="P6" i="14"/>
  <c r="J13" i="14"/>
  <c r="J24" i="14"/>
  <c r="P30" i="14"/>
  <c r="P46" i="14"/>
  <c r="P118" i="14"/>
  <c r="G120" i="14"/>
  <c r="P122" i="14"/>
  <c r="J64" i="14"/>
  <c r="L122" i="13"/>
  <c r="J8" i="14"/>
  <c r="J32" i="14"/>
  <c r="P34" i="14"/>
  <c r="J48" i="14"/>
  <c r="P50" i="14"/>
  <c r="P70" i="14"/>
  <c r="J21" i="14"/>
  <c r="P86" i="14"/>
  <c r="P90" i="14"/>
  <c r="L2" i="13"/>
  <c r="L29" i="13"/>
  <c r="L46" i="13"/>
  <c r="L70" i="13"/>
  <c r="L86" i="13"/>
  <c r="L110" i="13"/>
  <c r="J96" i="14"/>
  <c r="J112" i="14"/>
  <c r="J120" i="14"/>
  <c r="L19" i="13"/>
  <c r="L39" i="13"/>
  <c r="L47" i="13"/>
  <c r="L63" i="13"/>
  <c r="L71" i="13"/>
  <c r="L87" i="13"/>
  <c r="L95" i="13"/>
  <c r="L111" i="13"/>
  <c r="L119" i="13"/>
  <c r="J37" i="14"/>
  <c r="L72" i="13"/>
  <c r="L80" i="13"/>
  <c r="L88" i="13"/>
  <c r="L104" i="13"/>
  <c r="J10" i="14"/>
  <c r="J18" i="14"/>
  <c r="J26" i="14"/>
  <c r="L54" i="13"/>
  <c r="L94" i="13"/>
  <c r="L11" i="13"/>
  <c r="L30" i="13"/>
  <c r="L55" i="13"/>
  <c r="L79" i="13"/>
  <c r="L103" i="13"/>
  <c r="L57" i="13"/>
  <c r="L65" i="13"/>
  <c r="L73" i="13"/>
  <c r="L81" i="13"/>
  <c r="L89" i="13"/>
  <c r="L97" i="13"/>
  <c r="L105" i="13"/>
  <c r="L113" i="13"/>
  <c r="L121" i="13"/>
  <c r="J7" i="14"/>
  <c r="J15" i="14"/>
  <c r="J23" i="14"/>
  <c r="J31" i="14"/>
  <c r="L14" i="13"/>
  <c r="L6" i="13"/>
  <c r="L35" i="13"/>
  <c r="L115" i="13"/>
  <c r="L123" i="13"/>
  <c r="J9" i="14"/>
  <c r="J17" i="14"/>
  <c r="J25" i="14"/>
  <c r="J22" i="14"/>
  <c r="J62" i="14"/>
  <c r="J78" i="14"/>
  <c r="J102" i="14"/>
  <c r="J27" i="14"/>
  <c r="G2" i="14"/>
  <c r="P2" i="14"/>
  <c r="P3" i="14"/>
  <c r="G7" i="14"/>
  <c r="P7" i="14"/>
  <c r="G11" i="14"/>
  <c r="P11" i="14"/>
  <c r="G15" i="14"/>
  <c r="P15" i="14"/>
  <c r="P19" i="14"/>
  <c r="P23" i="14"/>
  <c r="P27" i="14"/>
  <c r="P31" i="14"/>
  <c r="P35" i="14"/>
  <c r="P39" i="14"/>
  <c r="P43" i="14"/>
  <c r="G47" i="14"/>
  <c r="P47" i="14"/>
  <c r="G51" i="14"/>
  <c r="P51" i="14"/>
  <c r="G55" i="14"/>
  <c r="P55" i="14"/>
  <c r="G59" i="14"/>
  <c r="P59" i="14"/>
  <c r="G63" i="14"/>
  <c r="P63" i="14"/>
  <c r="G67" i="14"/>
  <c r="P67" i="14"/>
  <c r="G79" i="14"/>
  <c r="P79" i="14"/>
  <c r="G83" i="14"/>
  <c r="P83" i="14"/>
  <c r="G87" i="14"/>
  <c r="P87" i="14"/>
  <c r="G91" i="14"/>
  <c r="P91" i="14"/>
  <c r="G95" i="14"/>
  <c r="P95" i="14"/>
  <c r="G99" i="14"/>
  <c r="P99" i="14"/>
  <c r="G103" i="14"/>
  <c r="P103" i="14"/>
  <c r="G107" i="14"/>
  <c r="P107" i="14"/>
  <c r="G111" i="14"/>
  <c r="P111" i="14"/>
  <c r="G115" i="14"/>
  <c r="P115" i="14"/>
  <c r="G119" i="14"/>
  <c r="P119" i="14"/>
  <c r="G123" i="14"/>
  <c r="P123" i="14"/>
  <c r="P4" i="14"/>
  <c r="G8" i="14"/>
  <c r="P8" i="14"/>
  <c r="P12" i="14"/>
  <c r="G16" i="14"/>
  <c r="P16" i="14"/>
  <c r="P20" i="14"/>
  <c r="P24" i="14"/>
  <c r="P28" i="14"/>
  <c r="P32" i="14"/>
  <c r="P36" i="14"/>
  <c r="P40" i="14"/>
  <c r="P44" i="14"/>
  <c r="P48" i="14"/>
  <c r="P52" i="14"/>
  <c r="P56" i="14"/>
  <c r="P60" i="14"/>
  <c r="P64" i="14"/>
  <c r="G68" i="14"/>
  <c r="P68" i="14"/>
  <c r="G72" i="14"/>
  <c r="P72" i="14"/>
  <c r="P76" i="14"/>
  <c r="P80" i="14"/>
  <c r="P84" i="14"/>
  <c r="P88" i="14"/>
  <c r="P92" i="14"/>
  <c r="P96" i="14"/>
  <c r="P100" i="14"/>
  <c r="P104" i="14"/>
  <c r="P108" i="14"/>
  <c r="P112" i="14"/>
  <c r="P116" i="14"/>
  <c r="P120" i="14"/>
  <c r="P124" i="14"/>
  <c r="G88" i="14"/>
  <c r="G66" i="14"/>
  <c r="P66" i="14"/>
  <c r="G74" i="14"/>
  <c r="P74" i="14"/>
  <c r="P5" i="14"/>
  <c r="G9" i="14"/>
  <c r="P9" i="14"/>
  <c r="G13" i="14"/>
  <c r="P13" i="14"/>
  <c r="P17" i="14"/>
  <c r="P21" i="14"/>
  <c r="P25" i="14"/>
  <c r="P29" i="14"/>
  <c r="P33" i="14"/>
  <c r="P37" i="14"/>
  <c r="P41" i="14"/>
  <c r="P45" i="14"/>
  <c r="P49" i="14"/>
  <c r="P53" i="14"/>
  <c r="P57" i="14"/>
  <c r="P61" i="14"/>
  <c r="P65" i="14"/>
  <c r="P69" i="14"/>
  <c r="G73" i="14"/>
  <c r="P73" i="14"/>
  <c r="P77" i="14"/>
  <c r="P81" i="14"/>
  <c r="P85" i="14"/>
  <c r="P89" i="14"/>
  <c r="P93" i="14"/>
  <c r="P97" i="14"/>
  <c r="P101" i="14"/>
  <c r="P105" i="14"/>
  <c r="P109" i="14"/>
  <c r="P113" i="14"/>
  <c r="P117" i="14"/>
  <c r="P121" i="14"/>
  <c r="P125" i="14"/>
  <c r="G104" i="14"/>
  <c r="G4" i="14"/>
  <c r="G12" i="14"/>
  <c r="G19" i="14"/>
  <c r="G35" i="14"/>
  <c r="G52" i="14"/>
  <c r="G76" i="14"/>
  <c r="G92" i="14"/>
  <c r="G108" i="14"/>
  <c r="G124" i="14"/>
  <c r="G31" i="14"/>
  <c r="G23" i="14"/>
  <c r="G39" i="14"/>
  <c r="G56" i="14"/>
  <c r="G80" i="14"/>
  <c r="G96" i="14"/>
  <c r="G112" i="14"/>
  <c r="G69" i="14"/>
  <c r="G27" i="14"/>
  <c r="G43" i="14"/>
  <c r="G60" i="14"/>
  <c r="G84" i="14"/>
  <c r="G100" i="14"/>
  <c r="G116" i="14"/>
  <c r="G10" i="14"/>
  <c r="G3" i="14"/>
  <c r="G6" i="14"/>
  <c r="G20" i="14"/>
  <c r="G24" i="14"/>
  <c r="G28" i="14"/>
  <c r="G32" i="14"/>
  <c r="G36" i="14"/>
  <c r="G40" i="14"/>
  <c r="G44" i="14"/>
  <c r="G49" i="14"/>
  <c r="G53" i="14"/>
  <c r="G57" i="14"/>
  <c r="G61" i="14"/>
  <c r="G65" i="14"/>
  <c r="G70" i="14"/>
  <c r="G77" i="14"/>
  <c r="G81" i="14"/>
  <c r="G85" i="14"/>
  <c r="G89" i="14"/>
  <c r="G93" i="14"/>
  <c r="G97" i="14"/>
  <c r="G101" i="14"/>
  <c r="G105" i="14"/>
  <c r="G109" i="14"/>
  <c r="G113" i="14"/>
  <c r="G117" i="14"/>
  <c r="G121" i="14"/>
  <c r="G125" i="14"/>
  <c r="G17" i="14"/>
  <c r="G21" i="14"/>
  <c r="G25" i="14"/>
  <c r="G29" i="14"/>
  <c r="G33" i="14"/>
  <c r="G37" i="14"/>
  <c r="G41" i="14"/>
  <c r="G45" i="14"/>
  <c r="G50" i="14"/>
  <c r="G54" i="14"/>
  <c r="G58" i="14"/>
  <c r="G62" i="14"/>
  <c r="G78" i="14"/>
  <c r="G82" i="14"/>
  <c r="G86" i="14"/>
  <c r="G90" i="14"/>
  <c r="G94" i="14"/>
  <c r="G98" i="14"/>
  <c r="G102" i="14"/>
  <c r="G106" i="14"/>
  <c r="G110" i="14"/>
  <c r="G114" i="14"/>
  <c r="G118" i="14"/>
  <c r="G122" i="14"/>
  <c r="G126" i="14"/>
  <c r="G14" i="14"/>
  <c r="B41" i="14"/>
  <c r="B49" i="14"/>
  <c r="B65" i="14"/>
  <c r="B81" i="14"/>
  <c r="B89" i="14"/>
  <c r="B113" i="14"/>
  <c r="G18" i="14"/>
  <c r="G22" i="14"/>
  <c r="G26" i="14"/>
  <c r="G30" i="14"/>
  <c r="G34" i="14"/>
  <c r="G38" i="14"/>
  <c r="G42" i="14"/>
  <c r="G46" i="14"/>
  <c r="G75" i="14"/>
  <c r="G71" i="14"/>
  <c r="G48" i="14"/>
  <c r="B125" i="14"/>
  <c r="B43" i="14"/>
  <c r="B59" i="14"/>
  <c r="B63" i="14"/>
  <c r="E27" i="14"/>
  <c r="E28" i="14"/>
  <c r="E29" i="14"/>
  <c r="E30" i="14"/>
  <c r="E31" i="14"/>
  <c r="E32" i="14"/>
  <c r="E33" i="14"/>
  <c r="E34" i="14"/>
  <c r="E35" i="14"/>
  <c r="E36" i="14"/>
  <c r="E37" i="14"/>
  <c r="E38" i="14"/>
  <c r="E39" i="14"/>
  <c r="E40" i="14"/>
  <c r="E41" i="14"/>
  <c r="E42" i="14"/>
  <c r="E43" i="14"/>
  <c r="E44" i="14"/>
  <c r="E45" i="14"/>
  <c r="E46" i="14"/>
  <c r="E47" i="14"/>
  <c r="E48" i="14"/>
  <c r="E49" i="14"/>
  <c r="E50" i="14"/>
  <c r="E51" i="14"/>
  <c r="E52" i="14"/>
  <c r="E53" i="14"/>
  <c r="E54" i="14"/>
  <c r="E55" i="14"/>
  <c r="E56" i="14"/>
  <c r="E57" i="14"/>
  <c r="E58" i="14"/>
  <c r="E60" i="14"/>
  <c r="E61" i="14"/>
  <c r="E62" i="14"/>
  <c r="E63" i="14"/>
  <c r="E64" i="14"/>
  <c r="E65" i="14"/>
  <c r="E66" i="14"/>
  <c r="E67" i="14"/>
  <c r="E68" i="14"/>
  <c r="E69" i="14"/>
  <c r="E70" i="14"/>
  <c r="E71" i="14"/>
  <c r="E72" i="14"/>
  <c r="E73" i="14"/>
  <c r="E74" i="14"/>
  <c r="E75" i="14"/>
  <c r="E76" i="14"/>
  <c r="E77" i="14"/>
  <c r="E78" i="14"/>
  <c r="E79" i="14"/>
  <c r="E80" i="14"/>
  <c r="E81" i="14"/>
  <c r="E82" i="14"/>
  <c r="E83" i="14"/>
  <c r="E84" i="14"/>
  <c r="E85" i="14"/>
  <c r="E86" i="14"/>
  <c r="E87" i="14"/>
  <c r="E88" i="14"/>
  <c r="E89" i="14"/>
  <c r="E90" i="14"/>
  <c r="E91" i="14"/>
  <c r="E92" i="14"/>
  <c r="E93" i="14"/>
  <c r="E94" i="14"/>
  <c r="E95" i="14"/>
  <c r="E96" i="14"/>
  <c r="E97" i="14"/>
  <c r="E98" i="14"/>
  <c r="E99" i="14"/>
  <c r="E100" i="14"/>
  <c r="E102" i="14"/>
  <c r="E103" i="14"/>
  <c r="E104" i="14"/>
  <c r="E105" i="14"/>
  <c r="E107" i="14"/>
  <c r="E108" i="14"/>
  <c r="E109" i="14"/>
  <c r="E110" i="14"/>
  <c r="E111" i="14"/>
  <c r="E112" i="14"/>
  <c r="E114" i="14"/>
  <c r="E115" i="14"/>
  <c r="E117" i="14"/>
  <c r="E118" i="14"/>
  <c r="E119" i="14"/>
  <c r="E120" i="14"/>
  <c r="E121" i="14"/>
  <c r="E122" i="14"/>
  <c r="E123" i="14"/>
  <c r="E124" i="14"/>
  <c r="E125" i="14"/>
  <c r="E126" i="14"/>
  <c r="B5" i="14"/>
  <c r="B17" i="14"/>
  <c r="B21" i="14"/>
  <c r="B29" i="14"/>
  <c r="B53" i="14"/>
  <c r="B93" i="14"/>
  <c r="B9" i="14"/>
  <c r="B13" i="14"/>
  <c r="B25" i="14"/>
  <c r="B4" i="14"/>
  <c r="B8" i="14"/>
  <c r="B12" i="14"/>
  <c r="B16" i="14"/>
  <c r="B20" i="14"/>
  <c r="B24" i="14"/>
  <c r="B28" i="14"/>
  <c r="B3" i="14"/>
  <c r="B11" i="14"/>
  <c r="B15" i="14"/>
  <c r="B19" i="14"/>
  <c r="B23" i="14"/>
  <c r="B27" i="14"/>
  <c r="B35" i="14"/>
  <c r="B36" i="14"/>
  <c r="B66" i="14"/>
  <c r="B69" i="14"/>
  <c r="B70" i="14"/>
  <c r="B97" i="14"/>
  <c r="B105" i="14"/>
  <c r="B116" i="14"/>
  <c r="B124" i="14"/>
  <c r="B7" i="14"/>
  <c r="B2" i="14"/>
  <c r="B33" i="14"/>
  <c r="B37" i="14"/>
  <c r="B57" i="14"/>
  <c r="B117" i="14"/>
  <c r="B61" i="14"/>
  <c r="B73" i="14"/>
  <c r="B91" i="14"/>
  <c r="B95" i="14"/>
  <c r="B98" i="14"/>
  <c r="B101" i="14"/>
  <c r="B102" i="14"/>
  <c r="B45" i="14"/>
  <c r="B46" i="14"/>
  <c r="B85" i="14"/>
  <c r="B47" i="14"/>
  <c r="B50" i="14"/>
  <c r="B67" i="14"/>
  <c r="B71" i="14"/>
  <c r="B74" i="14"/>
  <c r="B77" i="14"/>
  <c r="B78" i="14"/>
  <c r="B99" i="14"/>
  <c r="B103" i="14"/>
  <c r="B106" i="14"/>
  <c r="B109" i="14"/>
  <c r="B110" i="14"/>
  <c r="B121" i="14"/>
  <c r="B6" i="14"/>
  <c r="B10" i="14"/>
  <c r="B14" i="14"/>
  <c r="B18" i="14"/>
  <c r="B22" i="14"/>
  <c r="B26" i="14"/>
  <c r="B30" i="14"/>
  <c r="B34" i="14"/>
  <c r="B38" i="14"/>
  <c r="B51" i="14"/>
  <c r="B54" i="14"/>
  <c r="B75" i="14"/>
  <c r="B79" i="14"/>
  <c r="B82" i="14"/>
  <c r="B86" i="14"/>
  <c r="B107" i="14"/>
  <c r="B111" i="14"/>
  <c r="B114" i="14"/>
  <c r="B118" i="14"/>
  <c r="B122" i="14"/>
  <c r="B31" i="14"/>
  <c r="B39" i="14"/>
  <c r="B42" i="14"/>
  <c r="B55" i="14"/>
  <c r="B58" i="14"/>
  <c r="B62" i="14"/>
  <c r="B83" i="14"/>
  <c r="B87" i="14"/>
  <c r="B90" i="14"/>
  <c r="B94" i="14"/>
  <c r="B115" i="14"/>
  <c r="B119" i="14"/>
  <c r="B123" i="14"/>
  <c r="B126" i="14"/>
  <c r="B32" i="14"/>
  <c r="B44" i="14"/>
  <c r="B52" i="14"/>
  <c r="B60" i="14"/>
  <c r="B68" i="14"/>
  <c r="B76" i="14"/>
  <c r="B84" i="14"/>
  <c r="B92" i="14"/>
  <c r="B100" i="14"/>
  <c r="B108" i="14"/>
  <c r="B40" i="14"/>
  <c r="B48" i="14"/>
  <c r="B56" i="14"/>
  <c r="B64" i="14"/>
  <c r="B72" i="14"/>
  <c r="B80" i="14"/>
  <c r="B88" i="14"/>
  <c r="B96" i="14"/>
  <c r="B104" i="14"/>
  <c r="B112" i="14"/>
  <c r="B120" i="14"/>
  <c r="C91" i="13"/>
  <c r="C92" i="13"/>
  <c r="C93" i="13"/>
  <c r="C94" i="13"/>
  <c r="C95" i="13"/>
  <c r="C96" i="13"/>
  <c r="C97" i="13"/>
  <c r="C98" i="13"/>
  <c r="C99" i="13"/>
  <c r="C100" i="13"/>
  <c r="D91" i="13"/>
  <c r="D92" i="13"/>
  <c r="D93" i="13"/>
  <c r="D94" i="13"/>
  <c r="D95" i="13"/>
  <c r="D96" i="13"/>
  <c r="D97" i="13"/>
  <c r="D98" i="13"/>
  <c r="D99" i="13"/>
  <c r="D100" i="13"/>
  <c r="D78" i="13"/>
  <c r="D79" i="13"/>
  <c r="D80" i="13"/>
  <c r="D81" i="13"/>
  <c r="D82" i="13"/>
  <c r="D83" i="13"/>
  <c r="D84" i="13"/>
  <c r="D85" i="13"/>
  <c r="D86" i="13"/>
  <c r="D87" i="13"/>
  <c r="D88" i="13"/>
  <c r="D89" i="13"/>
  <c r="D90" i="13"/>
  <c r="C78" i="13"/>
  <c r="C79" i="13"/>
  <c r="C80" i="13"/>
  <c r="C81" i="13"/>
  <c r="C82" i="13"/>
  <c r="C83" i="13"/>
  <c r="C84" i="13"/>
  <c r="C85" i="13"/>
  <c r="C86" i="13"/>
  <c r="C87" i="13"/>
  <c r="C88" i="13"/>
  <c r="C89" i="13"/>
  <c r="C90" i="13"/>
  <c r="G96" i="13"/>
  <c r="G97" i="13"/>
  <c r="G98" i="13"/>
  <c r="G99" i="13"/>
  <c r="G100" i="13"/>
  <c r="G90" i="13"/>
  <c r="G91" i="13"/>
  <c r="G92" i="13"/>
  <c r="G93" i="13"/>
  <c r="G94" i="13"/>
  <c r="G95" i="13"/>
  <c r="G78" i="13"/>
  <c r="G79" i="13"/>
  <c r="G80" i="13"/>
  <c r="G81" i="13"/>
  <c r="G82" i="13"/>
  <c r="G83" i="13"/>
  <c r="G84" i="13"/>
  <c r="G85" i="13"/>
  <c r="G86" i="13"/>
  <c r="G87" i="13"/>
  <c r="G88" i="13"/>
  <c r="G89" i="13"/>
  <c r="H100" i="13"/>
  <c r="H98" i="13"/>
  <c r="H99" i="13"/>
  <c r="H97" i="13"/>
  <c r="H95" i="13"/>
  <c r="H96" i="13"/>
  <c r="H91" i="13"/>
  <c r="H92" i="13"/>
  <c r="H93" i="13"/>
  <c r="H94" i="13"/>
  <c r="H89" i="13"/>
  <c r="H90" i="13"/>
  <c r="H86" i="13"/>
  <c r="B86" i="13"/>
  <c r="H87" i="13"/>
  <c r="B87" i="13"/>
  <c r="H88" i="13"/>
  <c r="B88" i="13"/>
  <c r="H78" i="13"/>
  <c r="H79" i="13"/>
  <c r="H80" i="13"/>
  <c r="H81" i="13"/>
  <c r="H82" i="13"/>
  <c r="H83" i="13"/>
  <c r="H84" i="13"/>
  <c r="H85" i="13"/>
  <c r="D50" i="13"/>
  <c r="C50" i="13"/>
  <c r="H50" i="13"/>
  <c r="G50" i="13"/>
  <c r="H57" i="13"/>
  <c r="H58" i="13"/>
  <c r="G57" i="13"/>
  <c r="G58" i="13"/>
  <c r="C56" i="13"/>
  <c r="C57" i="13"/>
  <c r="C58" i="13"/>
  <c r="D58" i="13"/>
  <c r="D56" i="13"/>
  <c r="D57" i="13"/>
  <c r="D53" i="13"/>
  <c r="D54" i="13"/>
  <c r="D55" i="13"/>
  <c r="C53" i="13"/>
  <c r="C54" i="13"/>
  <c r="C55" i="13"/>
  <c r="H53" i="13"/>
  <c r="H54" i="13"/>
  <c r="H55" i="13"/>
  <c r="H56" i="13"/>
  <c r="G53" i="13"/>
  <c r="G54" i="13"/>
  <c r="G55" i="13"/>
  <c r="G56" i="13"/>
  <c r="H52" i="13"/>
  <c r="G52" i="13"/>
  <c r="D52" i="13"/>
  <c r="C52" i="13"/>
  <c r="H51" i="13"/>
  <c r="G51" i="13"/>
  <c r="D51" i="13"/>
  <c r="C51" i="13"/>
  <c r="H112" i="13"/>
  <c r="G112" i="13"/>
  <c r="D112" i="13"/>
  <c r="C112" i="13"/>
  <c r="H111" i="13"/>
  <c r="G111" i="13"/>
  <c r="D111" i="13"/>
  <c r="C111" i="13"/>
  <c r="H110" i="13"/>
  <c r="G110" i="13"/>
  <c r="D110" i="13"/>
  <c r="C110" i="13"/>
  <c r="H109" i="13"/>
  <c r="G109" i="13"/>
  <c r="D109" i="13"/>
  <c r="C109" i="13"/>
  <c r="H108" i="13"/>
  <c r="G108" i="13"/>
  <c r="D108" i="13"/>
  <c r="C108" i="13"/>
  <c r="H107" i="13"/>
  <c r="G107" i="13"/>
  <c r="D107" i="13"/>
  <c r="C107" i="13"/>
  <c r="H106" i="13"/>
  <c r="G106" i="13"/>
  <c r="D106" i="13"/>
  <c r="C106" i="13"/>
  <c r="D26" i="13"/>
  <c r="B91" i="13"/>
  <c r="B96" i="13"/>
  <c r="B94" i="13"/>
  <c r="B95" i="13"/>
  <c r="B83" i="13"/>
  <c r="B79" i="13"/>
  <c r="B93" i="13"/>
  <c r="B100" i="13"/>
  <c r="B82" i="13"/>
  <c r="B78" i="13"/>
  <c r="B90" i="13"/>
  <c r="B92" i="13"/>
  <c r="B97" i="13"/>
  <c r="B89" i="13"/>
  <c r="B85" i="13"/>
  <c r="B81" i="13"/>
  <c r="B98" i="13"/>
  <c r="B99" i="13"/>
  <c r="B84" i="13"/>
  <c r="B80" i="13"/>
  <c r="B50" i="13"/>
  <c r="B55" i="13"/>
  <c r="B52" i="13"/>
  <c r="B54" i="13"/>
  <c r="B57" i="13"/>
  <c r="B53" i="13"/>
  <c r="B58" i="13"/>
  <c r="B56" i="13"/>
  <c r="B51" i="13"/>
  <c r="H126" i="13"/>
  <c r="G126" i="13"/>
  <c r="D126" i="13"/>
  <c r="H125" i="13"/>
  <c r="G125" i="13"/>
  <c r="D125" i="13"/>
  <c r="C125" i="13"/>
  <c r="H124" i="13"/>
  <c r="G124" i="13"/>
  <c r="D124" i="13"/>
  <c r="C124" i="13"/>
  <c r="H123" i="13"/>
  <c r="G123" i="13"/>
  <c r="D123" i="13"/>
  <c r="C123" i="13"/>
  <c r="H122" i="13"/>
  <c r="G122" i="13"/>
  <c r="D122" i="13"/>
  <c r="C122" i="13"/>
  <c r="H121" i="13"/>
  <c r="G121" i="13"/>
  <c r="D121" i="13"/>
  <c r="C121" i="13"/>
  <c r="H120" i="13"/>
  <c r="G120" i="13"/>
  <c r="D120" i="13"/>
  <c r="C120" i="13"/>
  <c r="H119" i="13"/>
  <c r="G119" i="13"/>
  <c r="D119" i="13"/>
  <c r="C119" i="13"/>
  <c r="H118" i="13"/>
  <c r="G118" i="13"/>
  <c r="D118" i="13"/>
  <c r="C118" i="13"/>
  <c r="H117" i="13"/>
  <c r="G117" i="13"/>
  <c r="D117" i="13"/>
  <c r="C117" i="13"/>
  <c r="H116" i="13"/>
  <c r="G116" i="13"/>
  <c r="D116" i="13"/>
  <c r="C116" i="13"/>
  <c r="H115" i="13"/>
  <c r="G115" i="13"/>
  <c r="D115" i="13"/>
  <c r="C115" i="13"/>
  <c r="H114" i="13"/>
  <c r="G114" i="13"/>
  <c r="D114" i="13"/>
  <c r="C114" i="13"/>
  <c r="H113" i="13"/>
  <c r="G113" i="13"/>
  <c r="D113" i="13"/>
  <c r="C113" i="13"/>
  <c r="H105" i="13"/>
  <c r="G105" i="13"/>
  <c r="D105" i="13"/>
  <c r="C105" i="13"/>
  <c r="H104" i="13"/>
  <c r="G104" i="13"/>
  <c r="D104" i="13"/>
  <c r="C104" i="13"/>
  <c r="H103" i="13"/>
  <c r="G103" i="13"/>
  <c r="D103" i="13"/>
  <c r="C103" i="13"/>
  <c r="H102" i="13"/>
  <c r="G102" i="13"/>
  <c r="D102" i="13"/>
  <c r="C102" i="13"/>
  <c r="H101" i="13"/>
  <c r="G101" i="13"/>
  <c r="D101" i="13"/>
  <c r="C101" i="13"/>
  <c r="H77" i="13"/>
  <c r="G77" i="13"/>
  <c r="D77" i="13"/>
  <c r="C77" i="13"/>
  <c r="H76" i="13"/>
  <c r="G76" i="13"/>
  <c r="D76" i="13"/>
  <c r="C76" i="13"/>
  <c r="H75" i="13"/>
  <c r="G75" i="13"/>
  <c r="D75" i="13"/>
  <c r="C75" i="13"/>
  <c r="H74" i="13"/>
  <c r="G74" i="13"/>
  <c r="D74" i="13"/>
  <c r="C74" i="13"/>
  <c r="H73" i="13"/>
  <c r="G73" i="13"/>
  <c r="D73" i="13"/>
  <c r="C73" i="13"/>
  <c r="H72" i="13"/>
  <c r="G72" i="13"/>
  <c r="D72" i="13"/>
  <c r="C72" i="13"/>
  <c r="H71" i="13"/>
  <c r="G71" i="13"/>
  <c r="D71" i="13"/>
  <c r="C71" i="13"/>
  <c r="H70" i="13"/>
  <c r="G70" i="13"/>
  <c r="D70" i="13"/>
  <c r="C70" i="13"/>
  <c r="H69" i="13"/>
  <c r="G69" i="13"/>
  <c r="D69" i="13"/>
  <c r="C69" i="13"/>
  <c r="H68" i="13"/>
  <c r="G68" i="13"/>
  <c r="D68" i="13"/>
  <c r="C68" i="13"/>
  <c r="H67" i="13"/>
  <c r="G67" i="13"/>
  <c r="D67" i="13"/>
  <c r="C67" i="13"/>
  <c r="H66" i="13"/>
  <c r="G66" i="13"/>
  <c r="D66" i="13"/>
  <c r="C66" i="13"/>
  <c r="H65" i="13"/>
  <c r="G65" i="13"/>
  <c r="D65" i="13"/>
  <c r="C65" i="13"/>
  <c r="H64" i="13"/>
  <c r="G64" i="13"/>
  <c r="D64" i="13"/>
  <c r="C64" i="13"/>
  <c r="H63" i="13"/>
  <c r="G63" i="13"/>
  <c r="D63" i="13"/>
  <c r="C63" i="13"/>
  <c r="H62" i="13"/>
  <c r="G62" i="13"/>
  <c r="D62" i="13"/>
  <c r="C62" i="13"/>
  <c r="H61" i="13"/>
  <c r="G61" i="13"/>
  <c r="D61" i="13"/>
  <c r="C61" i="13"/>
  <c r="H60" i="13"/>
  <c r="G60" i="13"/>
  <c r="D60" i="13"/>
  <c r="C60" i="13"/>
  <c r="H59" i="13"/>
  <c r="G59" i="13"/>
  <c r="D59" i="13"/>
  <c r="C59" i="13"/>
  <c r="H49" i="13"/>
  <c r="G49" i="13"/>
  <c r="D49" i="13"/>
  <c r="C49" i="13"/>
  <c r="H48" i="13"/>
  <c r="G48" i="13"/>
  <c r="D48" i="13"/>
  <c r="C48" i="13"/>
  <c r="H47" i="13"/>
  <c r="G47" i="13"/>
  <c r="D47" i="13"/>
  <c r="C47" i="13"/>
  <c r="H46" i="13"/>
  <c r="G46" i="13"/>
  <c r="D46" i="13"/>
  <c r="C46" i="13"/>
  <c r="H45" i="13"/>
  <c r="G45" i="13"/>
  <c r="D45" i="13"/>
  <c r="C45" i="13"/>
  <c r="H44" i="13"/>
  <c r="G44" i="13"/>
  <c r="D44" i="13"/>
  <c r="C44" i="13"/>
  <c r="H43" i="13"/>
  <c r="G43" i="13"/>
  <c r="D43" i="13"/>
  <c r="C43" i="13"/>
  <c r="H42" i="13"/>
  <c r="G42" i="13"/>
  <c r="D42" i="13"/>
  <c r="C42" i="13"/>
  <c r="H41" i="13"/>
  <c r="G41" i="13"/>
  <c r="D41" i="13"/>
  <c r="C41" i="13"/>
  <c r="H40" i="13"/>
  <c r="G40" i="13"/>
  <c r="D40" i="13"/>
  <c r="C40" i="13"/>
  <c r="H39" i="13"/>
  <c r="G39" i="13"/>
  <c r="D39" i="13"/>
  <c r="C39" i="13"/>
  <c r="H38" i="13"/>
  <c r="G38" i="13"/>
  <c r="D38" i="13"/>
  <c r="C38" i="13"/>
  <c r="H37" i="13"/>
  <c r="G37" i="13"/>
  <c r="D37" i="13"/>
  <c r="C37" i="13"/>
  <c r="H36" i="13"/>
  <c r="G36" i="13"/>
  <c r="D36" i="13"/>
  <c r="C36" i="13"/>
  <c r="H35" i="13"/>
  <c r="G35" i="13"/>
  <c r="D35" i="13"/>
  <c r="C35" i="13"/>
  <c r="H34" i="13"/>
  <c r="G34" i="13"/>
  <c r="D34" i="13"/>
  <c r="C34" i="13"/>
  <c r="H33" i="13"/>
  <c r="G33" i="13"/>
  <c r="D33" i="13"/>
  <c r="C33" i="13"/>
  <c r="H32" i="13"/>
  <c r="G32" i="13"/>
  <c r="D32" i="13"/>
  <c r="C32" i="13"/>
  <c r="H31" i="13"/>
  <c r="G31" i="13"/>
  <c r="D31" i="13"/>
  <c r="C31" i="13"/>
  <c r="H30" i="13"/>
  <c r="G30" i="13"/>
  <c r="D30" i="13"/>
  <c r="C30" i="13"/>
  <c r="H29" i="13"/>
  <c r="G29" i="13"/>
  <c r="D29" i="13"/>
  <c r="C29" i="13"/>
  <c r="H28" i="13"/>
  <c r="G28" i="13"/>
  <c r="D28" i="13"/>
  <c r="C28" i="13"/>
  <c r="H27" i="13"/>
  <c r="G27" i="13"/>
  <c r="D27" i="13"/>
  <c r="C27" i="13"/>
  <c r="H26" i="13"/>
  <c r="G26" i="13"/>
  <c r="C26" i="13"/>
  <c r="H25" i="13"/>
  <c r="G25" i="13"/>
  <c r="D25" i="13"/>
  <c r="C25" i="13"/>
  <c r="H24" i="13"/>
  <c r="G24" i="13"/>
  <c r="D24" i="13"/>
  <c r="C24" i="13"/>
  <c r="H23" i="13"/>
  <c r="G23" i="13"/>
  <c r="D23" i="13"/>
  <c r="C23" i="13"/>
  <c r="H22" i="13"/>
  <c r="G22" i="13"/>
  <c r="D22" i="13"/>
  <c r="C22" i="13"/>
  <c r="H21" i="13"/>
  <c r="G21" i="13"/>
  <c r="D21" i="13"/>
  <c r="C21" i="13"/>
  <c r="H20" i="13"/>
  <c r="G20" i="13"/>
  <c r="D20" i="13"/>
  <c r="C20" i="13"/>
  <c r="H19" i="13"/>
  <c r="G19" i="13"/>
  <c r="D19" i="13"/>
  <c r="C19" i="13"/>
  <c r="H18" i="13"/>
  <c r="G18" i="13"/>
  <c r="D18" i="13"/>
  <c r="C18" i="13"/>
  <c r="H17" i="13"/>
  <c r="G17" i="13"/>
  <c r="D17" i="13"/>
  <c r="C17" i="13"/>
  <c r="H16" i="13"/>
  <c r="G16" i="13"/>
  <c r="D16" i="13"/>
  <c r="C16" i="13"/>
  <c r="H15" i="13"/>
  <c r="G15" i="13"/>
  <c r="D15" i="13"/>
  <c r="C15" i="13"/>
  <c r="H14" i="13"/>
  <c r="G14" i="13"/>
  <c r="D14" i="13"/>
  <c r="C14" i="13"/>
  <c r="H13" i="13"/>
  <c r="G13" i="13"/>
  <c r="D13" i="13"/>
  <c r="C13" i="13"/>
  <c r="H12" i="13"/>
  <c r="G12" i="13"/>
  <c r="D12" i="13"/>
  <c r="C12" i="13"/>
  <c r="H11" i="13"/>
  <c r="G11" i="13"/>
  <c r="D11" i="13"/>
  <c r="C11" i="13"/>
  <c r="H10" i="13"/>
  <c r="G10" i="13"/>
  <c r="D10" i="13"/>
  <c r="C10" i="13"/>
  <c r="H9" i="13"/>
  <c r="G9" i="13"/>
  <c r="D9" i="13"/>
  <c r="C9" i="13"/>
  <c r="H8" i="13"/>
  <c r="G8" i="13"/>
  <c r="D8" i="13"/>
  <c r="C8" i="13"/>
  <c r="H7" i="13"/>
  <c r="G7" i="13"/>
  <c r="D7" i="13"/>
  <c r="C7" i="13"/>
  <c r="H6" i="13"/>
  <c r="G6" i="13"/>
  <c r="D6" i="13"/>
  <c r="C6" i="13"/>
  <c r="H5" i="13"/>
  <c r="G5" i="13"/>
  <c r="D5" i="13"/>
  <c r="C5" i="13"/>
  <c r="H4" i="13"/>
  <c r="G4" i="13"/>
  <c r="D4" i="13"/>
  <c r="C4" i="13"/>
  <c r="H3" i="13"/>
  <c r="G3" i="13"/>
  <c r="C3" i="13"/>
  <c r="H2" i="13"/>
  <c r="G2" i="13"/>
  <c r="D2" i="13"/>
  <c r="C2" i="13"/>
  <c r="B111" i="13"/>
  <c r="B110" i="13"/>
  <c r="B109" i="13"/>
  <c r="B107" i="13"/>
  <c r="B26" i="13"/>
  <c r="B27" i="13"/>
  <c r="B31" i="13"/>
  <c r="B32" i="13"/>
  <c r="B33" i="13"/>
  <c r="B35" i="13"/>
  <c r="B36" i="13"/>
  <c r="B37" i="13"/>
  <c r="B39" i="13"/>
  <c r="B40" i="13"/>
  <c r="B41" i="13"/>
  <c r="B42" i="13"/>
  <c r="B43" i="13"/>
  <c r="B44" i="13"/>
  <c r="B45" i="13"/>
  <c r="B47" i="13"/>
  <c r="B48" i="13"/>
  <c r="B49" i="13"/>
  <c r="B59" i="13"/>
  <c r="B60" i="13"/>
  <c r="B61" i="13"/>
  <c r="B62" i="13"/>
  <c r="B63" i="13"/>
  <c r="B64" i="13"/>
  <c r="B65" i="13"/>
  <c r="B66" i="13"/>
  <c r="B68" i="13"/>
  <c r="B69" i="13"/>
  <c r="B70" i="13"/>
  <c r="B71" i="13"/>
  <c r="B72" i="13"/>
  <c r="B73" i="13"/>
  <c r="B74" i="13"/>
  <c r="B75" i="13"/>
  <c r="B76" i="13"/>
  <c r="B77" i="13"/>
  <c r="B101" i="13"/>
  <c r="B102" i="13"/>
  <c r="B103" i="13"/>
  <c r="B105" i="13"/>
  <c r="B113" i="13"/>
  <c r="B115" i="13"/>
  <c r="B116" i="13"/>
  <c r="B117" i="13"/>
  <c r="B118" i="13"/>
  <c r="B119" i="13"/>
  <c r="B2" i="13"/>
  <c r="B3" i="13"/>
  <c r="B4" i="13"/>
  <c r="B5" i="13"/>
  <c r="B7" i="13"/>
  <c r="B8" i="13"/>
  <c r="B9" i="13"/>
  <c r="B11" i="13"/>
  <c r="B13" i="13"/>
  <c r="B16" i="13"/>
  <c r="B17" i="13"/>
  <c r="B19" i="13"/>
  <c r="B20" i="13"/>
  <c r="B21" i="13"/>
  <c r="B22" i="13"/>
  <c r="B24" i="13"/>
  <c r="B120" i="13"/>
  <c r="B121" i="13"/>
  <c r="B122" i="13"/>
  <c r="B123" i="13"/>
  <c r="B124" i="13"/>
  <c r="B125" i="13"/>
  <c r="B126" i="13"/>
  <c r="B114" i="13"/>
  <c r="B104" i="13"/>
  <c r="B67" i="13"/>
  <c r="B12" i="13"/>
  <c r="B15" i="13"/>
  <c r="B23" i="13"/>
  <c r="B46" i="13"/>
  <c r="B34" i="13"/>
  <c r="B38" i="13"/>
  <c r="B30" i="13"/>
  <c r="B29" i="13"/>
  <c r="B28" i="13"/>
  <c r="B25" i="13"/>
  <c r="B18" i="13"/>
  <c r="B14" i="13"/>
  <c r="B10" i="13"/>
  <c r="B6" i="13"/>
  <c r="B112" i="13"/>
  <c r="B106" i="13"/>
  <c r="B108"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tc={3F0C2254-E555-458F-9B08-FAD340EC1ED9}</author>
    <author>tc={A8CD93C9-C782-438A-89C4-E813815329B5}</author>
    <author>tc={112E337D-9602-434E-A7BA-F4373BF9376F}</author>
  </authors>
  <commentList>
    <comment ref="E7" authorId="0" shapeId="0" xr:uid="{3F0C2254-E555-458F-9B08-FAD340EC1ED9}">
      <text>
        <t>[Threaded comment]
Your version of Excel allows you to read this threaded comment; however, any edits to it will get removed if the file is opened in a newer version of Excel. Learn more: https://go.microsoft.com/fwlink/?linkid=870924
Comment:
    Rationale:
• Target SLs (SL-T) are the desired level of security for a particular system. This is usually determined by performing a risk assessment on a system and determining that it needs a particular level of security to ensure its correct operation.</t>
      </text>
    </comment>
    <comment ref="E8" authorId="1" shapeId="0" xr:uid="{A8CD93C9-C782-438A-89C4-E813815329B5}">
      <text>
        <t xml:space="preserve">[Threaded comment]
Your version of Excel allows you to read this threaded comment; however, any edits to it will get removed if the file is opened in a newer version of Excel. Learn more: https://go.microsoft.com/fwlink/?linkid=870924
Comment:
    Rationale:
• Capability SLs (SL-C) are the security levels that components or systems can provide when properly configured. These levels state that a particular component or system is capable of meeting the target SLs natively without additional compensating countermeasures when properly configured and integrated. 
</t>
      </text>
    </comment>
    <comment ref="A14" authorId="2" shapeId="0" xr:uid="{112E337D-9602-434E-A7BA-F4373BF9376F}">
      <text>
        <t>[Threaded comment]
Your version of Excel allows you to read this threaded comment; however, any edits to it will get removed if the file is opened in a newer version of Excel. Learn more: https://go.microsoft.com/fwlink/?linkid=870924
Comment:
    Rationale::
Note: if SL-T is required as SL 0, then the SL-C vector rating is set to N/A as it is not required therefore no is calculation done. Similarly, if the ABB rating is that these requirements are N/A then N/A will show up the SL-C vector rating for an FR. ( that this will appear seldomly
 as this will only result in n/a if all SRs and REs used in the FR calculation are n/a)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tc={8D9C7D1F-2AB8-456C-8A7C-83B0CB48403A}</author>
    <author>tc={703275FF-C579-47B0-8BD8-3F7AD1EA985B}</author>
    <author>tc={79A25A0A-0839-4D67-9DDE-4EDB605F7FDB}</author>
    <author>tc={E32155DD-7269-4B19-94DB-253D8539DF5B}</author>
    <author>tc={62BB047A-8355-4BB8-8377-D2C3E381CF9E}</author>
    <author>tc={BA4C25A3-8A40-46AD-BFBD-9A4BD77E3B5C}</author>
    <author>tc={EA574F48-3380-4AD6-AFCA-21A4643E69F8}</author>
    <author>tc={E43E5792-56CF-4413-AC64-C4609117E7C7}</author>
    <author>tc={BEEB1AD1-C907-4C51-90E1-5C1A69406776}</author>
    <author>tc={B6BBFC7C-5609-4849-B76C-31640629FEC0}</author>
    <author>tc={4A012BFB-13AF-4FC0-AB6D-8D8822C8CCAB}</author>
    <author>tc={49859941-86BE-47BB-9102-785266BA332D}</author>
    <author>tc={BE6DE086-6DD1-47F0-ADF2-7A3E5A586ACE}</author>
    <author>tc={348D09F9-2E60-4A24-8799-630983303C18}</author>
    <author>tc={425FBB05-0CF7-482F-AB81-A92B4487A766}</author>
    <author>tc={F7330E94-6569-4275-A86B-F673EC414809}</author>
    <author>tc={007A18C3-9F28-447E-9D59-4EE0E3727FAC}</author>
    <author>tc={A8D13F62-6CBE-49B8-ADFE-4BD862A306D0}</author>
  </authors>
  <commentList>
    <comment ref="F2" authorId="0" shapeId="0" xr:uid="{8D9C7D1F-2AB8-456C-8A7C-83B0CB48403A}">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 ref="C10" authorId="1" shapeId="0" xr:uid="{703275FF-C579-47B0-8BD8-3F7AD1EA985B}">
      <text>
        <t>[Threaded comment]
Your version of Excel allows you to read this threaded comment; however, any edits to it will get removed if the file is opened in a newer version of Excel. Learn more: https://go.microsoft.com/fwlink/?linkid=870924
Comment:
    Rationale:
All human users need to be identified and authenticated for all access to the component. Authentication of the identity of these users should be accomplished by using methods such as passwords, tokens, and biometrics or, in the case of multifactor authentication, some combination thereof. The geographic location of human users can also be used as part of the authentication process. This requirement should be applied to both local and remote access to the component. This requirement comes in addition to the requirement of having such an authentication and identification at the system level.
Interfaces capable of human user access are local user interfaces such as touchscreens, push buttons, keyboards, etc. as well as network protocols designed for human user interactions such as hypertext transfer protocol (HTTP), secure HTTP (HTTPS), file transfer protocol (FTP), secure FTP (SFTP), protocols used for device configuration tools (which are sometimes proprietary and other times use open protocols). User identification and authentication may be role-based or group-based (such as, for some component interfaces, several users may share the same identity). User identification and authentication should not hamper fast, local emergency actions.
In order to support IAC policies, as defined according to ISA‑62443‑2‑1, the component should verify the identity of all human users as a first step. In a second step, the permissions assigned to the identified human user should be enforced (see 6.3).</t>
      </text>
    </comment>
    <comment ref="C19" authorId="2" shapeId="0" xr:uid="{79A25A0A-0839-4D67-9DDE-4EDB605F7FDB}">
      <text>
        <t xml:space="preserve">[Threaded comment]
Your version of Excel allows you to read this threaded comment; however, any edits to it will get removed if the file is opened in a newer version of Excel. Learn more: https://go.microsoft.com/fwlink/?linkid=870924
Comment:
    Rationale:
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ISA‑62443‑2‑1 (99.02.01) [5], the control system verifies the identity of all entities as a first step. In a second step, the permissions assigned to the identified entity are enforced (see 6.3, CR 2.1 – Authorization enforcement)
</t>
      </text>
    </comment>
    <comment ref="C25" authorId="3" shapeId="0" xr:uid="{E32155DD-7269-4B19-94DB-253D8539DF5B}">
      <text>
        <t xml:space="preserve">[Threaded comment]
Your version of Excel allows you to read this threaded comment; however, any edits to it will get removed if the file is opened in a newer version of Excel. Learn more: https://go.microsoft.com/fwlink/?linkid=870924
Comment:
    Rationale:
A component may provide this capability by integrating into a higher-level account management system. If the capability is not integrated into a higher-level account management system then the component is expected to provide the capability natively.
A common approach meeting this requirement would be a component that delegates the valuation of authentication to a directory server (for example, LDAP or Active Directory) which
provides the account management capabilities required by IEC 62443‑3‑3 SR 1.3.
When a component integrates into a higher-level system to provide the account management capabilities there needs to be consideration for the impact to the component in the event that
the higher-level system capability becomes unavailable.
</t>
      </text>
    </comment>
    <comment ref="M25" authorId="4" shapeId="0" xr:uid="{62BB047A-8355-4BB8-8377-D2C3E381CF9E}">
      <text>
        <t>[Threaded comment]
Your version of Excel allows you to read this threaded comment; however, any edits to it will get removed if the file is opened in a newer version of Excel. Learn more: https://go.microsoft.com/fwlink/?linkid=870924
Comment:
    Use standard authentication in ABB (MyABB &amp; OAuth2.0 lib)  and not local authentication</t>
      </text>
    </comment>
    <comment ref="C28" authorId="5" shapeId="0" xr:uid="{BA4C25A3-8A40-46AD-BFBD-9A4BD77E3B5C}">
      <text>
        <t>[Threaded comment]
Your version of Excel allows you to read this threaded comment; however, any edits to it will get removed if the file is opened in a newer version of Excel. Learn more: https://go.microsoft.com/fwlink/?linkid=870924
Comment:
    Rationale:
Accounts created under CR 1.3 - Account management require the use of one or more identifiers to distinctly identify each account. These identifiers must be unique and unambiguous as to the account with which they are associated. Some examples of accounts in common use are account names, UNIX user ids, Microsoft Windows account globally unique identifiers (GUID), and bound X.509 certificates. A component may provide a local capability to associate identifiers with accounts. If the component is integrated into a system that enforces a system-wide security policy it is highly recommended that identifiers be associated with the same account across all components in the system. In order to accomplish this a component must be able to integrate into a system-wide identifier management capability.</t>
      </text>
    </comment>
    <comment ref="C30" authorId="6" shapeId="0" xr:uid="{EA574F48-3380-4AD6-AFCA-21A4643E69F8}">
      <text>
        <t>[Threaded comment]
Your version of Excel allows you to read this threaded comment; however, any edits to it will get removed if the file is opened in a newer version of Excel. Learn more: https://go.microsoft.com/fwlink/?linkid=870924
Comment:
    Rationale:
Rationale:
In addition to an identifier (see 5.6) an authenticator is required to prove identity. Control system authenticators include, but are not limited to, tokens, symmetric keys, private keys (part of a public/private key pair), biometrics, passwords, physical keys and key cards. There should be security policies in place instructing that human users must take reasonable measures to safeguard authenticators, including maintaining possession of their individual authenticators, not loaning or sharing authenticators with others and reporting lost or compromised authenticators immediately.
Authenticators have a lifecycle. When an account is created automatically a new authenticator needs to be created, in order for the account owner to be able to authenticate. For example, in a password-based system, the account has a password associated with it. Definition of the initial authenticator content could be interpreted as the administrator defining the initial password that the account management system sets for all new accounts. Being able to configure these initial values makes it harder for an attacker to guess the password between account creation and first account use (which should involve the setting of a new password by the account owner). Some control systems are installed with unattended installers that create all necessary accounts with default passwords and some embedded devices are shipped with default passwords. Over time, these passwords often become general knowledge and are documented on the Internet. Being able to change the default passwords protects the system against unauthorized users using default passwords to gain access. Passwords can be obtained from storage or from transmission when used in network authentication. The complexity of this can be increased by cryptographic protections such as encryption or hashing or by handshake protocols that do not require transmission of the password at all. Still, passwords might be subject to attacks, for example, brute force guessing or breaking the cryptographic protection of passwords in transit or storage. The window of opportunity can be reduced by changing/refreshing the passwords periodically. Similar considerations apply to authentication systems based on cryptographic keys. Enhanced protection can be achieved by using hardware mechanisms such as hardware security modules like trusted platform modules (TPMs).
The management of authenticators should be specified in applicable security policies and procedures, for example, constraints to change default authenticators, refresh periods, specification of the protection of authenticators or firecall procedures.
Besides the capabilities for authenticator management specified in this requirement, the strength of the authentication mechanism depends on the strength of the chosen authenticator (for example, password complexity or key length in public key authentication) and the policies for validating the authenticator in the authentication process (for example, how long a password is valid or which checks are performed in public key certificate validation). For the most common authentication mechanisms, password-based and public key authentication, 5.9, 5.10 and 5.11 provide further requirements.
Use of components for some operations may be restricted, requiring additional authentication (such as tokens, keys and certificates) in order to perform some functions.</t>
      </text>
    </comment>
    <comment ref="D30" authorId="7" shapeId="0" xr:uid="{E43E5792-56CF-4413-AC64-C4609117E7C7}">
      <text>
        <t>[Threaded comment]
Your version of Excel allows you to read this threaded comment; however, any edits to it will get removed if the file is opened in a newer version of Excel. Learn more: https://go.microsoft.com/fwlink/?linkid=870924
Comment:
    Rationale:
MCSR has a "not" requirement. Improvement would be to write it positive like in 62443: Products should have Account- and Authenticator Management. 
Question: What exactly is an Authenticator?</t>
      </text>
    </comment>
    <comment ref="N31" authorId="8" shapeId="0" xr:uid="{BEEB1AD1-C907-4C51-90E1-5C1A69406776}">
      <text>
        <t>[Threaded comment]
Your version of Excel allows you to read this threaded comment; however, any edits to it will get removed if the file is opened in a newer version of Excel. Learn more: https://go.microsoft.com/fwlink/?linkid=870924
Comment:
    More guidance documentation needs to be added for the implementer.</t>
      </text>
    </comment>
    <comment ref="C40" authorId="9" shapeId="0" xr:uid="{B6BBFC7C-5609-4849-B76C-31640629FEC0}">
      <text>
        <t>[Threaded comment]
Your version of Excel allows you to read this threaded comment; however, any edits to it will get removed if the file is opened in a newer version of Excel. Learn more: https://go.microsoft.com/fwlink/?linkid=870924
Comment:
    Rationale:
Any wireless technology can, and in most cases should, be considered just another communication protocol option. Thus, it should be subject to the same IACS security requirements as any other communication type utilized by the IACS. However, from a security point of view, there is at least one significant difference between wired and wireless communications. Physical security countermeasures are typically less effective when using wireless.</t>
      </text>
    </comment>
    <comment ref="C46" authorId="10" shapeId="0" xr:uid="{4A012BFB-13AF-4FC0-AB6D-8D8822C8CCAB}">
      <text>
        <t>[Threaded comment]
Your version of Excel allows you to read this threaded comment; however, any edits to it will get removed if the file is opened in a newer version of Excel. Learn more: https://go.microsoft.com/fwlink/?linkid=870924
Comment:
    Rationale:
The ability to enforce configurable password strength, whether it is based on minimum length, variety of characters, or duration of time (the minimum being a one-time password) is necessary to assist in increasing the overall security of user chosen passwords.  Generally accepted practices and recommendations can be found in documents such as NIST SP800-63-2, Electronic Authentication Guideline</t>
      </text>
    </comment>
    <comment ref="C55" authorId="11" shapeId="0" xr:uid="{49859941-86BE-47BB-9102-785266BA332D}">
      <text>
        <t>[Threaded comment]
Your version of Excel allows you to read this threaded comment; however, any edits to it will get removed if the file is opened in a newer version of Excel. Learn more: https://go.microsoft.com/fwlink/?linkid=870924
Comment:
    Rationale:
The selection of an appropriate PKI should consider the organization’s certificate policy which should be based on the risk associated with a breach of confidentiality of the protected information. Guidance on the policy definition can be found in commonly accepted standards and guidelines, such as the Internet Engineering Task Force (IETF) Request for Comment (RFC) 3647 [22] for X.509-based PKI. For example, the appropriate location of a certification authority (CA), whether within the control system versus on the Internet, and the list of trusted CAs should be considered in the policy and depends on the network architecture (see also ISA‑62443‑2‑1 [1]).</t>
      </text>
    </comment>
    <comment ref="C58" authorId="12" shapeId="0" xr:uid="{BE6DE086-6DD1-47F0-ADF2-7A3E5A586ACE}">
      <text>
        <t xml:space="preserve">[Threaded comment]
Your version of Excel allows you to read this threaded comment; however, any edits to it will get removed if the file is opened in a newer version of Excel. Learn more: https://go.microsoft.com/fwlink/?linkid=870924
Comment:
    Rationale:
To meet the requirements in this clause does not necessarily require a real time connection to a certificate authority.  Alternative out of band methods may be used to meet the requirements in this clause.  For example, a disconnected system could install and update certifications using manual out-of-band processes.  
Public/private key cryptography strongly depends on the secrecy of a given subject’s private key and proper handling of the trust relationships. When verifying a trust between two entities based on public key authentication, it is essential to trace the public key certificate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
It is expected that most components will integrate into an IACS and leverage the key authentication mechanisms provided by the underlying IACS. When implementing public key authentication at the component-level of an IACS, protection of the key becomes a primary concern and objective of key storage on that component. Care should be taken in the implementation to assure that any private keys stored within the component cannot be modified or tampered (See 5.7, CR 1.5 – Authenticator management).
NOTE   Tamper resistant design methodologies and technologies are available to assist with designing a secure private key protection mechanism.
</t>
      </text>
    </comment>
    <comment ref="C64" authorId="13" shapeId="0" xr:uid="{348D09F9-2E60-4A24-8799-630983303C18}">
      <text>
        <t>[Threaded comment]
Your version of Excel allows you to read this threaded comment; however, any edits to it will get removed if the file is opened in a newer version of Excel. Learn more: https://go.microsoft.com/fwlink/?linkid=870924
Comment:
    Rationale:
Obscuring feedback protects the information from possible exploitation by unauthorized individuals, for example, displaying asterisks or other random characters when a human user types in a username and/or password obscures feedback of authentication information. Other examples include the entry of secure socket shell (SSH) token entry and one-time passwords. The authenticating entity should not provide any hint as to the reason for the authentication failure, such as “unknown user name.”</t>
      </text>
    </comment>
    <comment ref="C67" authorId="14" shapeId="0" xr:uid="{425FBB05-0CF7-482F-AB81-A92B4487A766}">
      <text>
        <t>[Threaded comment]
Your version of Excel allows you to read this threaded comment; however, any edits to it will get removed if the file is opened in a newer version of Excel. Learn more: https://go.microsoft.com/fwlink/?linkid=870924
Comment:
    Rationale:
Due to the potential for denial of service, the number of consecutive invalid access attempts may be limited. If enabled, the application or device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
      </text>
    </comment>
    <comment ref="C70" authorId="15" shapeId="0" xr:uid="{F7330E94-6569-4275-A86B-F673EC414809}">
      <text>
        <t xml:space="preserve">[Threaded comment]
Your version of Excel allows you to read this threaded comment; however, any edits to it will get removed if the file is opened in a newer version of Excel. Learn more: https://go.microsoft.com/fwlink/?linkid=870924
Comment:
    Rationale:
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might improve IACS security because it can be used as a deterrent.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
</t>
      </text>
    </comment>
    <comment ref="C73" authorId="16" shapeId="0" xr:uid="{007A18C3-9F28-447E-9D59-4EE0E3727FAC}">
      <text>
        <t>[Threaded comment]
Your version of Excel allows you to read this threaded comment; however, any edits to it will get removed if the file is opened in a newer version of Excel. Learn more: https://go.microsoft.com/fwlink/?linkid=870924
Comment:
    Rationale:
The network device should protect against unauthorized connections or subversion of authorized connections. 
Examples of access to the network device via untrusted networks typically include remote access methods (such as, dial-up, broadband and wireless) as well as connections from a company’s office (non-control system) network. The network device may provide ACL (access control list) functionality to restrict access by:
Layer 2 forwarding devices such as Ethernet switches:
a) MAC address
b) VLAN
Layer 3 forwarding devices such as routers, gateways and firewalls:
a) IP address
b) port and protocol
c) virtual private networks</t>
      </text>
    </comment>
    <comment ref="C79" authorId="17" shapeId="0" xr:uid="{A8D13F62-6CBE-49B8-ADFE-4BD862A306D0}">
      <text>
        <t xml:space="preserve">[Threaded comment]
Your version of Excel allows you to read this threaded comment; however, any edits to it will get removed if the file is opened in a newer version of Excel. Learn more: https://go.microsoft.com/fwlink/?linkid=870924
Comment:
    Rationale:
Means should be defined for installing the keys into the component. This may include installing and managing the component key using out-of-band methods. This is necessary since a compromise of any symmetric keys that are stored within the component could lead to a full compromise of the system using those keys.
In practice, there are two basic ways to perform the secure authentication of a device to another: either using asymmetric cryptography (see 5.11) or by using symmetric cryptography. The choice between asymmetric and symmetric is dictated by several criteria, like key management, trust provisioning, legacy support and efficiency. Examples of symmetric key authentication schemes are Needham-Schröder or Kerberos. When symmetric key authentication is used, the party uses a secret key they have learned in the past (for example, through trust provisioning). The party proves their claimed identity by proving knowledge of the secret key (for example, by answering a challenge submitted by the other party, the examiner). The examiner has the knowledge of the same secret (also learned in the past through trust provisioning) and is able to compute the answer to the challenge performing the same cryptographic operations as the prover. The examiner can then compare the answer of the prover with its own computation. If they match, the examiner is convinced that the prover is the one they claim to be and the process can be conducted the other way around, switching roles, to achieve mutual-authentication. This mechanism is secure only if the shared secret is only known by the prover and the examiner and if the secret is diversified per prover. One instance of such a mechanism is the proper use of cipher-based message authentication code (CMAC) computations or alternatively the Galois counter mode (GCM)/Galois message authentication code (GMAC) operation modes.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tc={7C942353-8901-41E5-B331-29A3C02F99A9}</author>
    <author>tc={C96B01D1-32CB-44DF-B4B1-F5101F4949B5}</author>
    <author>tc={DA003E87-FAC1-417B-90EC-B131DE3BE97D}</author>
    <author>tc={1B43336F-BDB9-45DB-846D-31B56D838D22}</author>
    <author>tc={B69759B3-73CC-4581-8165-37234874675F}</author>
    <author>tc={679DA158-28EC-4E23-AAAC-97F0487AD188}</author>
    <author>tc={89FD9A71-D5CB-4CB1-9607-8591BE77BFD8}</author>
    <author>tc={8D210296-B9D0-468C-9E8E-D956F4CC1107}</author>
    <author>tc={746BD114-3B6E-4E42-99A3-461D52A43218}</author>
    <author>tc={0DAD6936-2245-4240-8E96-890F70695948}</author>
    <author>tc={2A72B160-46C1-4D77-870C-925B4BE7DBCA}</author>
    <author>tc={6A04A38B-CF42-493D-9521-2CABA6C5CB48}</author>
    <author>tc={ACD824A0-138A-403C-B17B-39EFA83CA4C7}</author>
    <author>tc={AEEF8C89-6E67-4C85-A78C-E0BD7435A081}</author>
    <author>tc={4346FDD8-CB11-4F2F-B51E-918FCBC6630F}</author>
    <author>tc={F8EA452C-8188-436D-B408-8E25CEC9C491}</author>
    <author>tc={BEF0F5FE-55A1-48E5-AB04-BDDE8FEC1004}</author>
    <author>tc={BD34E263-0BAE-40E7-835B-F9C981CAE7EF}</author>
    <author>tc={2D27F98E-E7B5-4103-BA7F-5E2C274A7F89}</author>
    <author>tc={0F7F3A8F-2907-45D5-930E-426872F998E2}</author>
    <author>tc={95780495-E841-4CBE-BD1D-6220F9CCCDC2}</author>
  </authors>
  <commentList>
    <comment ref="F2" authorId="0" shapeId="0" xr:uid="{7C942353-8901-41E5-B331-29A3C02F99A9}">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 ref="C10" authorId="1" shapeId="0" xr:uid="{C96B01D1-32CB-44DF-B4B1-F5101F4949B5}">
      <text>
        <t xml:space="preserve">[Threaded comment]
Your version of Excel allows you to read this threaded comment; however, any edits to it will get removed if the file is opened in a newer version of Excel. Learn more: https://go.microsoft.com/fwlink/?linkid=870924
Comment:
    Rationale:
Use control policies (for example, identity-based policies, role-based policies and rule-based policies) and associated read/write access enforcement mechanisms (for example, access control lists, access control matrices and cryptography) are employed to control usage between users (humans, software processes and devices) and assets (for example, devices, files, records, software processes, programs and domains). 
After the control system has verified the identity of a user (human, software process or device) (see 5.3, CR 1.1 – Human user identification and authentication and 5.4, CR 1.2 – Software process and device identification and authentication), it also has to verify that a requested operation is actually permitted according to the defined security policies and procedures. For example, in a role-based access control policy, the control system would check which roles are assigned to a verified user or asset and which privileges are assigned to these roles – if the requested operation is covered by the permissions, it is executed, otherwise rejected. This allows the enforcement of segregation of duties and least privileges. Usage enforcement mechanisms should not be allowed to adversely affect the operational performance of the control system. 
Planned or unplanned changes to control system components can have significant effects on the overall security of the control system. Accordingly, only qualified and authorized individuals should obtain the use of control system components for purposes of initiating changes, including upgrades and modifications.
</t>
      </text>
    </comment>
    <comment ref="C25" authorId="2" shapeId="0" xr:uid="{DA003E87-FAC1-417B-90EC-B131DE3BE97D}">
      <text>
        <t>[Threaded comment]
Your version of Excel allows you to read this threaded comment; however, any edits to it will get removed if the file is opened in a newer version of Excel. Learn more: https://go.microsoft.com/fwlink/?linkid=870924
Comment:
    Rationale:
Wireless use control may be implemented in different devices that make up the system. Network devices may be one of the devices that assist with use control through controls such as network admission control. For devices and applications that utilize wireless networks those devices should be able to properly utilize wireless network protection such as network admission control. Components may also implement different limitations on access based on whether the access is from wireless devices or wired devices. This does place a need that the component be able to distinguish whether the interface is through wireless or not. Some network devices provide the capability to scan for unauthorized wireless network activity in the wireless spectrum. In order to prevent a negative impact on the performance of the control system functionality, it is a good practice to deploy dedicated devices to perform checks for unauthorized network activity.</t>
      </text>
    </comment>
    <comment ref="C31" authorId="3" shapeId="0" xr:uid="{1B43336F-BDB9-45DB-846D-31B56D838D22}">
      <text>
        <t>[Threaded comment]
Your version of Excel allows you to read this threaded comment; however, any edits to it will get removed if the file is opened in a newer version of Excel. Learn more: https://go.microsoft.com/fwlink/?linkid=870924
Comment:
    Rationale:
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in which the component resides. For example, mobile code exchanges may be disallowed directly within the control system, but may be allowed in a controlled adjacent environment maintained by IACS personnel.</t>
      </text>
    </comment>
    <comment ref="C36" authorId="4" shapeId="0" xr:uid="{B69759B3-73CC-4581-8165-37234874675F}">
      <text>
        <t>[Threaded comment]
Your version of Excel allows you to read this threaded comment; however, any edits to it will get removed if the file is opened in a newer version of Excel. Learn more: https://go.microsoft.com/fwlink/?linkid=870924
Comment:
    Rationale:
Mobile code technologies include, but are not limited to, Java, JavaScript, ActiveX,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in which the component resides. For example, mobile code exchanges may be disallowed directly within the control system, but may be allowed in a controlled adjacent environment maintained by IACS personnel.</t>
      </text>
    </comment>
    <comment ref="C45" authorId="5" shapeId="0" xr:uid="{679DA158-28EC-4E23-AAAC-97F0487AD188}">
      <text>
        <t xml:space="preserve">[Threaded comment]
Your version of Excel allows you to read this threaded comment; however, any edits to it will get removed if the file is opened in a newer version of Excel. Learn more: https://go.microsoft.com/fwlink/?linkid=870924
Comment:
    Rationale:
Mobile code technologies include, but are not limited to, Java, JavaScript, ActiveX,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in which the host device resides. For example, mobile code exchanges may be disallowed directly with the control system, but may be allowed in a controlled adjacent environment maintained by IACS personnel.
Mobile code could be secured by adding integrity, authenticity, and authorization checks to the code itself (application layer), or for “just-in-time” code execution through transmitting the mobile code via a secure communications tunnel which provides these attributes, or any mechanism equivalent to these options.
</t>
      </text>
    </comment>
    <comment ref="C51" authorId="6" shapeId="0" xr:uid="{89FD9A71-D5CB-4CB1-9607-8591BE77BFD8}">
      <text>
        <t xml:space="preserve">[Threaded comment]
Your version of Excel allows you to read this threaded comment; however, any edits to it will get removed if the file is opened in a newer version of Excel. Learn more: https://go.microsoft.com/fwlink/?linkid=870924
Comment:
    Rationale:
Mobile code technologies include, but are not limited to, Java, JavaScript, ActiveX,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in which the component resides. For example, mobile code exchanges may be disallowed directly within the control system, but may be allowed in a controlled adjacent environment maintained by IACS personnel.
Mobile code could be secured by adding integrity, authenticity, and authorization checks to the code itself (application layer), or for “just-in-time” code execution through transmitting the mobile code via a secure communications tunnel which provides these attributes, or any mechanism equivalent to these options.
</t>
      </text>
    </comment>
    <comment ref="C57" authorId="7" shapeId="0" xr:uid="{8D210296-B9D0-468C-9E8E-D956F4CC1107}">
      <text>
        <t xml:space="preserve">[Threaded comment]
Your version of Excel allows you to read this threaded comment; however, any edits to it will get removed if the file is opened in a newer version of Excel. Learn more: https://go.microsoft.com/fwlink/?linkid=870924
Comment:
    Rationale:
Session locks are used to prevent access to specified workstations or nodes. Components should activate session lock mechanisms automatically after a configurable time period. In most cases, the session locks are configured at the system level. Session locks implemented as part of this requirement may be pre-empted or limited by remote session termination, as defined in CR 2.6 – Remote session termination.
</t>
      </text>
    </comment>
    <comment ref="C60" authorId="8" shapeId="0" xr:uid="{746BD114-3B6E-4E42-99A3-461D52A43218}">
      <text>
        <t>[Threaded comment]
Your version of Excel allows you to read this threaded comment; however, any edits to it will get removed if the file is opened in a newer version of Excel. Learn more: https://go.microsoft.com/fwlink/?linkid=870924
Comment:
    Rationale:
A remote session is initiated whenever a component is accessed across the boundary of a zone defined by the asset owner based on their risk assessment. This requirement may be limited to sessions that are used for component monitoring and maintenance activities (not critical operations) based on the risk assessment of the control system and security policies and procedures. Some components may not allow sessions to be terminated as the session might be part of an essential function of the component</t>
      </text>
    </comment>
    <comment ref="C63" authorId="9" shapeId="0" xr:uid="{0DAD6936-2245-4240-8E96-890F70695948}">
      <text>
        <t>[Threaded comment]
Your version of Excel allows you to read this threaded comment; however, any edits to it will get removed if the file is opened in a newer version of Excel. Learn more: https://go.microsoft.com/fwlink/?linkid=870924
Comment:
    Rationale:
A resource starvation DoS might occur if a limit is not imposed. There is a trade-off between potentially locking out a specific user versus locking out all users and services due to a lack of resources. Product supplier and/or system integrator guidance is likely required to provide sufficient information as to how the number of concurrent sessions value should be assigned</t>
      </text>
    </comment>
    <comment ref="C66" authorId="10" shapeId="0" xr:uid="{2A72B160-46C1-4D77-870C-925B4BE7DBCA}">
      <text>
        <t xml:space="preserve">[Threaded comment]
Your version of Excel allows you to read this threaded comment; however, any edits to it will get removed if the file is opened in a newer version of Excel. Learn more: https://go.microsoft.com/fwlink/?linkid=870924
Comment:
    Rationale:
Devices may contain either embedded firmware or run an OS. While the intent of the requirement is to cover categories of events, at least all events from the above categories that can be generated by the firmware or OS are to be included.
NOTE   Security event categories are only applicable if functionality itself is provided by the component.
</t>
      </text>
    </comment>
    <comment ref="C69" authorId="11" shapeId="0" xr:uid="{6A04A38B-CF42-493D-9521-2CABA6C5CB48}">
      <text>
        <t xml:space="preserve">[Threaded comment]
Your version of Excel allows you to read this threaded comment; however, any edits to it will get removed if the file is opened in a newer version of Excel. Learn more: https://go.microsoft.com/fwlink/?linkid=870924
Comment:
    Rationale:
Components should provide sufficient audit storage capacity, taking into account retention policy, the auditing to be performed and the online audit processing requirements.  Components may rely on the system into which they are integrated to provide the majority of audit storage capacity.  However, the components should provide enough local storage to buffer audit data until it can be sent to the system.
Guidelines to be considered may include NIST Special Publication (SP) 800-92 [19]. The audit storage capacity should be sufficient to retain logs for a period of time required by applicable policies and regulations or business requirements.
</t>
      </text>
    </comment>
    <comment ref="C75" authorId="12" shapeId="0" xr:uid="{ACD824A0-138A-403C-B17B-39EFA83CA4C7}">
      <text>
        <t>[Threaded comment]
Your version of Excel allows you to read this threaded comment; however, any edits to it will get removed if the file is opened in a newer version of Excel. Learn more: https://go.microsoft.com/fwlink/?linkid=870924
Comment:
    Rationale:
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 800-92, Guide to Computer Security Log Management [19]. It should be noted that either overwriting the oldest audit records or halting audit log generation are possible responses to audit storage capacity being exceeded but imply the loss of potentially essential forensic information. Also alerting personnel could be an appropriate supporting action in response to an audit processing failure.</t>
      </text>
    </comment>
    <comment ref="C78" authorId="13" shapeId="0" xr:uid="{AEEF8C89-6E67-4C85-A78C-E0BD7435A081}">
      <text>
        <t>[Threaded comment]
Your version of Excel allows you to read this threaded comment; however, any edits to it will get removed if the file is opened in a newer version of Excel. Learn more: https://go.microsoft.com/fwlink/?linkid=870924
Comment:
    Rationale:
A good reference for the format of timestamps is ISO/IEC 8601:2004, Data elements and interchange formats – Information interchange – Representation of dates and times.
Care should be
taken when designing a system that periodic time-shift events, such as daylight savings time in some locations, are considered.</t>
      </text>
    </comment>
    <comment ref="C87" authorId="14" shapeId="0" xr:uid="{4346FDD8-CB11-4F2F-B51E-918FCBC6630F}">
      <text>
        <t>[Threaded comment]
Your version of Excel allows you to read this threaded comment; however, any edits to it will get removed if the file is opened in a newer version of Excel. Learn more: https://go.microsoft.com/fwlink/?linkid=870924
Comment:
    Rationale:
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user identification and authorization, digital signatures, digital message receipts and timestamps)</t>
      </text>
    </comment>
    <comment ref="C93" authorId="15" shapeId="0" xr:uid="{F8EA452C-8188-436D-B408-8E25CEC9C491}">
      <text>
        <t xml:space="preserve">[Threaded comment]
Your version of Excel allows you to read this threaded comment; however, any edits to it will get removed if the file is opened in a newer version of Excel. Learn more: https://go.microsoft.com/fwlink/?linkid=870924
Comment:
    Rationale:
Factory diagnostic and test interface(s) are created at various locations within the component to assist the component’s developers and factory personnel as they test the functional implementation, and when errors are discovered to subsequently remove them from the component. However, these same interfaces must be carefully protected from access by unauthorized entities to protect the essential functionality provided by the component to the IACS.
If a diagnostic and test interface does not provide an ability to control the embedded device or to access non-public information, then it will not need an authentication mechanism. This shall be determined via a threat and risk assessment. An example of this would be JTAG
debugging, in which JTAG is used to take control of the processor and execute arbitrary commands, versus a JTAG boundary scan where JTAG is used to simply read information (which may be publicly available information).
There may be cases where the factory diagnostic and test interface(s) use network communications with the device.  When this is the case those interfaces are to be subjected to all of the requirements of this document.
</t>
      </text>
    </comment>
    <comment ref="M93" authorId="16" shapeId="0" xr:uid="{BEF0F5FE-55A1-48E5-AB04-BDDE8FEC1004}">
      <text>
        <t>[Threaded comment]
Your version of Excel allows you to read this threaded comment; however, any edits to it will get removed if the file is opened in a newer version of Excel. Learn more: https://go.microsoft.com/fwlink/?linkid=870924
Comment:
    NA mobile platform controls access to debug infrastucture.</t>
      </text>
    </comment>
    <comment ref="C99" authorId="17" shapeId="0" xr:uid="{BD34E263-0BAE-40E7-835B-F9C981CAE7EF}">
      <text>
        <t xml:space="preserve">[Threaded comment]
Your version of Excel allows you to read this threaded comment; however, any edits to it will get removed if the file is opened in a newer version of Excel. Learn more: https://go.microsoft.com/fwlink/?linkid=870924
Comment:
    Rationale:
Factory diagnostic and test interface(s) are created at various locations within the component to assist the component’s developers and factory personnel as they test the functional implementation, and when errors are discovered to subsequently remove them from the component. However, these same interfaces must be carefully protected from access by unauthorized entities to protect the essential functionality provided by the component to the IACS.
There may be cases where the factory diagnostic and test interface(s) use network communications with the device.  When this is the case those interfaces are to be subjected to all of the requirements of this document.
If a diagnostic and test interface does not provide an ability to control the host device or to access non-public information, then it will not need an authentication mechanism. This shall be determined via a threat and risk assessment. An example of this would be JTAG debugging, in which JTAG is used to take control of the processor and execute arbitrary commands, versus a JTAG boundary scan where JTAG is used to simply read information (which may be publicly available information).
</t>
      </text>
    </comment>
    <comment ref="M99" authorId="18" shapeId="0" xr:uid="{2D27F98E-E7B5-4103-BA7F-5E2C274A7F89}">
      <text>
        <t>[Threaded comment]
Your version of Excel allows you to read this threaded comment; however, any edits to it will get removed if the file is opened in a newer version of Excel. Learn more: https://go.microsoft.com/fwlink/?linkid=870924
Comment:
    Delete any reference of the test and Debug in the release candidate (links to JUnit or other debug tools). Request user service permissions and block unnecessary services</t>
      </text>
    </comment>
    <comment ref="C105" authorId="19" shapeId="0" xr:uid="{0F7F3A8F-2907-45D5-930E-426872F998E2}">
      <text>
        <t>[Threaded comment]
Your version of Excel allows you to read this threaded comment; however, any edits to it will get removed if the file is opened in a newer version of Excel. Learn more: https://go.microsoft.com/fwlink/?linkid=870924
Comment:
    Rationale:
Factory diagnostic and test interface(s) are created at various locations within the component to assist the component’s developers and factory personnel as they test the functional implementation, and when errors are discovered to subsequently remove them from the component. However, these same interfaces must be carefully protected from access by unauthorized entities to protect the essential functionality provided by the component to the IACS.
There may be cases where the factory diagnostic and test interface(s) use network communications with the device.  When this is the case those interfaces are to be subjected to all of the requirements of this standard
Note that if a diagnostic and test interface does not provide the ability to control the product, or to access non-public information, then it will not need an authentication mechanism. This should be determined via a threat assessment. An example of this would be JTAG debugging, in which JTAG is used to take control of the processor and execute arbitrary commands, versus a JTAG boundary scan where JTAG is used to simply read information (which may be publicly available information).</t>
      </text>
    </comment>
    <comment ref="M105" authorId="20" shapeId="0" xr:uid="{95780495-E841-4CBE-BD1D-6220F9CCCDC2}">
      <text>
        <t>[Threaded comment]
Your version of Excel allows you to read this threaded comment; however, any edits to it will get removed if the file is opened in a newer version of Excel. Learn more: https://go.microsoft.com/fwlink/?linkid=870924
Comment:
    Delete any reference of the test and Debug in the release candidate (links to JUnit or other debug tools). Request user service permissions and block unnecessary services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tc={67CDBC1F-4DAC-49BA-BE58-A6513F91B870}</author>
    <author>tc={3E3D1DBF-DCCC-4124-A38D-41FA42A7B4FD}</author>
    <author>tc={7067DD05-967E-4293-9108-8820FFEBA859}</author>
    <author>tc={E2BD0BD1-ADC3-46AF-95CF-FE03BA4C9449}</author>
    <author>tc={DAB93126-4EEB-4A96-A9C5-82F656FBB1BC}</author>
    <author>tc={BAF8B1AA-E5FB-4D7F-A746-B2386774208E}</author>
    <author>tc={C886BCB2-A97E-4D81-8D7A-B9414B25CA42}</author>
    <author>tc={129D214D-5092-48BA-B912-A08E617F3F0E}</author>
    <author>tc={CA4100C6-0FF9-4935-995E-FAE29ECA3F08}</author>
    <author>tc={41DE7C03-9CF4-4D05-B28C-70B4D757A601}</author>
    <author>tc={1E2CCAFF-7DDE-4638-92E8-14AD7D7854CC}</author>
    <author>tc={95C5A7B3-A77E-4E82-8214-F856B2C0811A}</author>
    <author>tc={6EE417BE-ADF4-48EE-AB7D-F108FD2750CB}</author>
    <author>tc={946174CF-4C87-422D-8231-B0A2B9CB76A0}</author>
    <author>tc={3547B422-0B38-4A0A-98F7-11AEE848BA0C}</author>
    <author>tc={F3B3899B-6EE4-4EDA-B896-53562A859C7E}</author>
    <author>tc={F71AC645-6B5B-4260-A457-2213C2F50767}</author>
    <author>tc={F28BB12A-FDF8-4FDE-97CE-8A3DBA09AF8A}</author>
    <author>tc={FD896B67-8A64-4F5C-B065-B849DAB0DB56}</author>
    <author>tc={770F7A79-0E14-4FDD-8FE0-2994E560311E}</author>
    <author>tc={42D1985F-B8B4-4D02-AA15-7BF923F19C0A}</author>
    <author>tc={0D1917AD-761F-4F8B-9157-509990C70F9C}</author>
    <author>tc={6D5E3A7E-CF95-44AB-9956-76DFC2B9B6AB}</author>
    <author>tc={8A14364A-2FD5-4024-85EA-1384E31878BD}</author>
    <author>tc={546ADE03-7635-4ABF-A791-7B1190096AD4}</author>
    <author>tc={C5204B67-68E6-4215-B8E4-1CF955EAD6BC}</author>
    <author>tc={F996765C-C3FE-44E7-B2AD-D571CDE01965}</author>
    <author>tc={D9488E3E-4671-4711-99BE-3B9E4CFD2564}</author>
    <author>tc={B37AD5F5-88B9-4CF5-AFB9-1DECF8C5DD7E}</author>
    <author>tc={2D5C1AF5-F24F-4C5C-B9E0-87178E92A185}</author>
    <author>tc={762F817D-8CFD-43DC-878A-2A01D5D81167}</author>
    <author>tc={11D3BE3C-A396-4E60-BF43-71E79EE9A362}</author>
    <author>tc={C0830A86-1F8A-4311-8B23-5208FE4CF7B2}</author>
    <author>tc={E401AE75-D659-4D6F-BD82-4A85AB52724B}</author>
    <author>tc={6DB4BC3F-6655-4E2D-B95F-076300210C32}</author>
    <author>tc={03CE0296-ED2B-4E54-9CCB-BB80C1ABD5BE}</author>
    <author>tc={B2BE8ACC-75C2-4630-8732-12E54C554EEC}</author>
    <author>tc={54EF52B8-53F1-4BC3-9FC5-33B629522D8C}</author>
    <author>tc={0A9BA775-0EC7-4693-A5E8-3705AB43ADE2}</author>
    <author>tc={9727F1D7-FAF5-49DC-B1ED-15C344A51022}</author>
    <author>tc={D3A3235A-A2A4-4080-9379-35B3FD32D048}</author>
    <author>tc={D84128BC-42A7-4336-AF0F-9B787963236E}</author>
    <author>tc={EDE3A1CC-1675-4A8F-9697-C52DBB384449}</author>
    <author>tc={94F2B016-9C2C-4AF4-9BC7-9DF5CB3D3218}</author>
    <author>tc={AC7FF905-8052-46C6-A6D6-11114B46FA47}</author>
    <author>tc={6C14C8FA-4FE0-484C-9AA7-B6CBE63DCE98}</author>
    <author>tc={2BE56458-4239-4EA5-9A9D-9A1AA7B94194}</author>
    <author>tc={ABC6C5DF-A1BF-4998-928D-581A4B408082}</author>
    <author>tc={9ACE3C0C-8FCE-4B3F-8FBA-C06184883577}</author>
  </authors>
  <commentList>
    <comment ref="F2" authorId="0" shapeId="0" xr:uid="{67CDBC1F-4DAC-49BA-BE58-A6513F91B870}">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 ref="C10" authorId="1" shapeId="0" xr:uid="{3E3D1DBF-DCCC-4124-A38D-41FA42A7B4FD}">
      <text>
        <t xml:space="preserve">[Threaded comment]
Your version of Excel allows you to read this threaded comment; however, any edits to it will get removed if the file is opened in a newer version of Excel. Learn more: https://go.microsoft.com/fwlink/?linkid=870924
Comment:
    Rationale:
Many common network attacks are based on the manipulation of data in transmission, for example manipulation of network packets. Switched or routed networks provide a greater opportunity for attackers to manipulate packets as undetected access to these networks is generally easier and the switching and routing mechanisms themselves can also be manipulated in order to get more access to transmitted information. Manipulation in the context of a control system could include the change of measurement values communicated from a sensor to a receiver or the alteration of command parameters sent from a control application to an actuator. 
Depending on the context (for example transmission within a local network segment versus transmission via untrusted networks) and the network type used in the transmission (for example transmission control protocol (TCP) / internet protocol (IP) versus local serial links), feasible and appropriate mechanisms will vary. On a small network with direct links (point-to-point), physical access protection to all nodes may be sufficient on lower SLs if the endpoints’ integrity is protected as well (see 7.6, CR 3.4 – Software and information integrity), while on a network distributed in areas with regular physical presence of staff or on a wide area network physical access is likely not enforceable. If a commercial service is used to provide communication services as a commodity item rather than a fully dedicated service (for example a leased line versus a T1 link), it may be more difficult to obtain the necessary assurances regarding the implementation of needed security controls for communication integrity (for example because of legal restrictions). When it is infeasible or impractical to meet the necessary security requirements it may be appropriate to implement either appropriate compensating countermeasures or explicitly accept the additional risk. 
Industrial equipment is often subject to environmental conditions that can lead to integrity issues and/or false positive incidents. Many times the environment contains particulates, liquids, vibration, gases, radiation, and electromagnetic interference (EMI) that can cause conditions that affect the integrity of the communication wiring and signals. The network infrastructure should be designed to minimize these physical/environmental effects on communication integrity. For example, when particulate, liquids, and/or gases are an issue, it may be necessary to use a sealed registered jack 45 (RJ-45) or M12 connector instead of a commercial-grade RJ-45 connector on the wire. The cable itself may need to use a different jacket instead to handle the particulate, liquid, and/or gas as well. In cases where vibration is an issue, M12 connectors may be necessary to prevent the spring pins on an RJ-45 connector from disconnecting during use. In cases where radiation and/or EMI are an issue, it may be necessary to use shielded twisted pair or fiber cables to prevent any effect on the communication signals. It may also be necessary to perform a wireless spectrum analysis in these areas if wireless networking is planned to verify that it is a viable solution
</t>
      </text>
    </comment>
    <comment ref="N13" authorId="2" shapeId="0" xr:uid="{7067DD05-967E-4293-9108-8820FFEBA859}">
      <text>
        <t>[Threaded comment]
Your version of Excel allows you to read this threaded comment; however, any edits to it will get removed if the file is opened in a newer version of Excel. Learn more: https://go.microsoft.com/fwlink/?linkid=870924
Comment:
    secure communication does not require encryption</t>
      </text>
    </comment>
    <comment ref="C16" authorId="3" shapeId="0" xr:uid="{E2BD0BD1-ADC3-46AF-95CF-FE03BA4C9449}">
      <text>
        <t>[Threaded comment]
Your version of Excel allows you to read this threaded comment; however, any edits to it will get removed if the file is opened in a newer version of Excel. Learn more: https://go.microsoft.com/fwlink/?linkid=870924
Comment:
    Rationale:
Protection from malicious code (for example, viruses, worms, Trojan horses and spyware) may be provided by the control system application or by an external service or application. Control system applications need to be compatible with mechanisms designed to protect them from malicious code.  This requirement does not imply that the product supplier is to qualify and document all malicious code protection mechanisms which are compatible with the application but implies that the product supplier is to qualify and document at least one mechanism.</t>
      </text>
    </comment>
    <comment ref="C19" authorId="4" shapeId="0" xr:uid="{DAB93126-4EEB-4A96-A9C5-82F656FBB1BC}">
      <text>
        <t xml:space="preserve">[Threaded comment]
Your version of Excel allows you to read this threaded comment; however, any edits to it will get removed if the file is opened in a newer version of Excel. Learn more: https://go.microsoft.com/fwlink/?linkid=870924
Comment:
    Rationale:
Unauthorized software may contain malicious code and thus be harmful to the component.  If an embedded device is able to utilize a compensating control, it need not directly support protection from malicious code. It is assumed that the IACS will be responsible for providing the required safeguards. However, for scenarios such as having a local universal serial bus (USB) host access, the need for protection from malicious code should be determined by a risk assessment.
Detection mechanisms should be able to detect integrity violations of application binaries and data files. Techniques may include, but are not limited to, binary integrity and attributes monitoring, hashing and signature techniques.
Prevention techniques may include, but are not limited to,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for an associated requirement involving control system monitoring tools and techniques.
</t>
      </text>
    </comment>
    <comment ref="C22" authorId="5" shapeId="0" xr:uid="{BAF8B1AA-E5FB-4D7F-A746-B2386774208E}">
      <text>
        <t>[Threaded comment]
Your version of Excel allows you to read this threaded comment; however, any edits to it will get removed if the file is opened in a newer version of Excel. Learn more: https://go.microsoft.com/fwlink/?linkid=870924
Comment:
    Rationale:
Host devices need to support the use of malicious code protection (against, for example, viruses, worms, Trojan horses and spyware) protection. The product supplier should qualify and document the configuration of protection from malicious code mechanisms so that the primary mission of the control system is maintained.</t>
      </text>
    </comment>
    <comment ref="C28" authorId="6" shapeId="0" xr:uid="{C886BCB2-A97E-4D81-8D7A-B9414B25CA42}">
      <text>
        <t>[Threaded comment]
Your version of Excel allows you to read this threaded comment; however, any edits to it will get removed if the file is opened in a newer version of Excel. Learn more: https://go.microsoft.com/fwlink/?linkid=870924
Comment:
    Rationale:
If a network device is able to utilize a compensating control, it need not directly support protection from malicious code. One such possible compensating control would be the use of network packet filtering devices to identify and remove malicious code while in transit.  It is assumed that the IACS will be responsible for providing the required safeguards. However, for scenarios such as having a local USB host access, the need for protection from malicious code should be evaluated.</t>
      </text>
    </comment>
    <comment ref="C31" authorId="7" shapeId="0" xr:uid="{129D214D-5092-48BA-B912-A08E617F3F0E}">
      <text>
        <t xml:space="preserve">[Threaded comment]
Your version of Excel allows you to read this threaded comment; however, any edits to it will get removed if the file is opened in a newer version of Excel. Learn more: https://go.microsoft.com/fwlink/?linkid=870924
Comment:
    Rationale:
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countermeasures by European Institute for Computer Antivirus Research (EICAR) testing of the control system file system. Antivirus software should detect the EICAR test samples and appropriate incident handling procedures should be triggered. 
• Verification of the identification, authentication and use control countermeasures by attempting access with an unauthorized account (for some functionality this could be automated). 
• Verification of intrusion detection systems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
</t>
      </text>
    </comment>
    <comment ref="N37" authorId="8" shapeId="0" xr:uid="{CA4100C6-0FF9-4935-995E-FAE29ECA3F08}">
      <text>
        <t>[Threaded comment]
Your version of Excel allows you to read this threaded comment; however, any edits to it will get removed if the file is opened in a newer version of Excel. Learn more: https://go.microsoft.com/fwlink/?linkid=870924
Comment:
    Documentation for clarification needed when to do the integrity checks.</t>
      </text>
    </comment>
    <comment ref="M42" authorId="9" shapeId="0" xr:uid="{41DE7C03-9CF4-4D05-B28C-70B4D757A601}">
      <text>
        <t>[Threaded comment]
Your version of Excel allows you to read this threaded comment; however, any edits to it will get removed if the file is opened in a newer version of Excel. Learn more: https://go.microsoft.com/fwlink/?linkid=870924
Comment:
    Text ok, open question is User comparable to System.</t>
      </text>
    </comment>
    <comment ref="M45" authorId="10" shapeId="0" xr:uid="{1E2CCAFF-7DDE-4638-92E8-14AD7D7854CC}">
      <text>
        <t>[Threaded comment]
Your version of Excel allows you to read this threaded comment; however, any edits to it will get removed if the file is opened in a newer version of Excel. Learn more: https://go.microsoft.com/fwlink/?linkid=870924
Comment:
    appstores for Android in China needs to be clarified/defined</t>
      </text>
    </comment>
    <comment ref="M50" authorId="11" shapeId="0" xr:uid="{95C5A7B3-A77E-4E82-8214-F856B2C0811A}">
      <text>
        <t>[Threaded comment]
Your version of Excel allows you to read this threaded comment; however, any edits to it will get removed if the file is opened in a newer version of Excel. Learn more: https://go.microsoft.com/fwlink/?linkid=870924
Comment:
    Text ok, open question is User comparable to System.</t>
      </text>
    </comment>
    <comment ref="C56" authorId="12" shapeId="0" xr:uid="{6EE417BE-ADF4-48EE-AB7D-F108FD2750CB}">
      <text>
        <t>[Threaded comment]
Your version of Excel allows you to read this threaded comment; however, any edits to it will get removed if the file is opened in a newer version of Excel. Learn more: https://go.microsoft.com/fwlink/?linkid=870924
Comment:
    Rationale:
Rules for checking the valid syntax of input data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CR,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should include well-known guidelines such as the Open Web Application Security Project (OWASP) Code Review Guide</t>
      </text>
    </comment>
    <comment ref="N56" authorId="13" shapeId="0" xr:uid="{946174CF-4C87-422D-8231-B0A2B9CB76A0}">
      <text>
        <t>[Threaded comment]
Your version of Excel allows you to read this threaded comment; however, any edits to it will get removed if the file is opened in a newer version of Excel. Learn more: https://go.microsoft.com/fwlink/?linkid=870924
Comment:
    hardning for MCSR 1.0, industrial process should be expanded to broader scope</t>
      </text>
    </comment>
    <comment ref="C59" authorId="14" shapeId="0" xr:uid="{3547B422-0B38-4A0A-98F7-11AEE848BA0C}">
      <text>
        <t xml:space="preserve">[Threaded comment]
Your version of Excel allows you to read this threaded comment; however, any edits to it will get removed if the file is opened in a newer version of Excel. Learn more: https://go.microsoft.com/fwlink/?linkid=870924
Comment:
    Rationale:
The deterministic behavior of control system outputs as a result of threat actions against the control system devices is an important characteristic to ensure the integrity of normal operations. Ideally, the device continues to operate normally while under attack, but if the control system cannot maintain normal operation, then the control system outputs need to fail to a predetermined state. The appropriate predetermined state of control system outputs is device dependent and could be one of the following user configurable options:
• Unpowered – the outputs fail to the unpowered state;
• Hold – the outputs fail to the last-known good value; or
• Fixed – the outputs fail to a fixed value that is determined by the asset owner or an application; or
• Dynamic – the outputs fail to one of the above options based on the current state
</t>
      </text>
    </comment>
    <comment ref="C62" authorId="15" shapeId="0" xr:uid="{F3B3899B-6EE4-4EDA-B896-53562A859C7E}">
      <text>
        <t xml:space="preserve">[Threaded comment]
Your version of Excel allows you to read this threaded comment; however, any edits to it will get removed if the file is opened in a newer version of Excel. Learn more: https://go.microsoft.com/fwlink/?linkid=870924
Comment:
    Rationale:
The product supplier and/or system integrator should carefully consider the structure and content of error messages. Error messages generated by the component should provide timely and useful information without revealing potentially harmful information that could be used by adversaries to exploit the IACS. Disclosure of this information should be justified by the necessity for timely resolution of error conditions. Guidelines to be considered could include well-known guidelines such as the OWASP Code Review Guide.
NOTE: A good example of an error message that could help adversaries attack an IACS would be to provide details of why authentication with the system failed.  For example stating invalid user or invalid password in the feedback would help an adversary attack the IACS and thus should not be provided.
</t>
      </text>
    </comment>
    <comment ref="M62" authorId="16" shapeId="0" xr:uid="{F71AC645-6B5B-4260-A457-2213C2F50767}">
      <text>
        <t>[Threaded comment]
Your version of Excel allows you to read this threaded comment; however, any edits to it will get removed if the file is opened in a newer version of Excel. Learn more: https://go.microsoft.com/fwlink/?linkid=870924
Comment:
    Text Ok, IACS need to be extended to cover more target systems/devices (for example home automation).</t>
      </text>
    </comment>
    <comment ref="N62" authorId="17" shapeId="0" xr:uid="{F28BB12A-FDF8-4FDE-97CE-8A3DBA09AF8A}">
      <text>
        <t>[Threaded comment]
Your version of Excel allows you to read this threaded comment; however, any edits to it will get removed if the file is opened in a newer version of Excel. Learn more: https://go.microsoft.com/fwlink/?linkid=870924
Comment:
    Scope is more than MCSR 1.0, scope should be broadened to all areas.</t>
      </text>
    </comment>
    <comment ref="C65" authorId="18" shapeId="0" xr:uid="{FD896B67-8A64-4F5C-B065-B849DAB0DB56}">
      <text>
        <t>[Threaded comment]
Your version of Excel allows you to read this threaded comment; however, any edits to it will get removed if the file is opened in a newer version of Excel. Learn more: https://go.microsoft.com/fwlink/?linkid=870924
Comment:
    Rationale:
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
Session hijacking and other man-in-the-middle attacks or injections of false information often take advantage of easy-to-guess session IDs (keys or other shared secrets) or use of session IDs that were not properly invalidated after session termination. Therefore the validity of a session authenticator should be tightly connected to the lifetime of a session. Employing randomness in the generation of unique session IDs helps to protect against brute-force attacks to determine future session IDs.</t>
      </text>
    </comment>
    <comment ref="C70" authorId="19" shapeId="0" xr:uid="{770F7A79-0E14-4FDD-8FE0-2994E560311E}">
      <text>
        <t>[Threaded comment]
Your version of Excel allows you to read this threaded comment; however, any edits to it will get removed if the file is opened in a newer version of Excel. Learn more: https://go.microsoft.com/fwlink/?linkid=870924
Comment:
    Rationale:
Audit information includes all information (for example, audit records, audit settings and audit reports) needed to successfully audit control system activity. The audit information is important for error correction, security breach recovery, investigations and related efforts. Mechanisms for enhanced protection against modification and deletion include the storage of audit information to hardware-enforced write-once media.</t>
      </text>
    </comment>
    <comment ref="C76" authorId="20" shapeId="0" xr:uid="{42D1985F-B8B4-4D02-AA15-7BF923F19C0A}">
      <text>
        <t>[Threaded comment]
Your version of Excel allows you to read this threaded comment; however, any edits to it will get removed if the file is opened in a newer version of Excel. Learn more: https://go.microsoft.com/fwlink/?linkid=870924
Comment:
    Rationale:
Embedded devices over their installed lifetime may have the need for installation of updates and upgrades.  There will be cases where embedded devices are supporting or executing essential functions as well.  When this is the case the embedded device needs to have mechanisms in place to support patching and updating without impacting the essential functions of high availability systems (see 4.2 CCSC 1 Support of essential functions).  One example for providing this capability would be to support redundancy within the embedded device.</t>
      </text>
    </comment>
    <comment ref="C82" authorId="21" shapeId="0" xr:uid="{0D1917AD-761F-4F8B-9157-509990C70F9C}">
      <text>
        <t>[Threaded comment]
Your version of Excel allows you to read this threaded comment; however, any edits to it will get removed if the file is opened in a newer version of Excel. Learn more: https://go.microsoft.com/fwlink/?linkid=870924
Comment:
    Rationale:
Host devices over their installed lifetime may have the need for installation of updates and upgrades.  There will be cases where host devices are supporting or executing essential functions as well.  When this is the case the host device should have mechanisms in place to support patching and updating without impacting the essential functions of high availability systems (see 4.2 CCSC 1 Support of essential functions).  One example for providing this capability would be to support redundancy within the host device.</t>
      </text>
    </comment>
    <comment ref="M82" authorId="22" shapeId="0" xr:uid="{6D5E3A7E-CF95-44AB-9956-76DFC2B9B6AB}">
      <text>
        <t>[Threaded comment]
Your version of Excel allows you to read this threaded comment; however, any edits to it will get removed if the file is opened in a newer version of Excel. Learn more: https://go.microsoft.com/fwlink/?linkid=870924
Comment:
    Management by PlayStore and appStore. Not applicable for Chinese stores (task of the developers and owner of the application)</t>
      </text>
    </comment>
    <comment ref="M85" authorId="23" shapeId="0" xr:uid="{8A14364A-2FD5-4024-85EA-1384E31878BD}">
      <text>
        <t>[Threaded comment]
Your version of Excel allows you to read this threaded comment; however, any edits to it will get removed if the file is opened in a newer version of Excel. Learn more: https://go.microsoft.com/fwlink/?linkid=870924
Comment:
    Management by PlayStore and appStore. Not applicable for Chinese stores (task of the developers and owner of the application)</t>
      </text>
    </comment>
    <comment ref="C88" authorId="24" shapeId="0" xr:uid="{546ADE03-7635-4ABF-A791-7B1190096AD4}">
      <text>
        <t>[Threaded comment]
Your version of Excel allows you to read this threaded comment; however, any edits to it will get removed if the file is opened in a newer version of Excel. Learn more: https://go.microsoft.com/fwlink/?linkid=870924
Comment:
    Rationale:
Network devices over their installed lifetime may require installation of updates and upgrades.  There will be cases where network devices are supporting or executing essential functions as well.  When this is the case the network device should have mechanisms in place to support patching and updating without impacting the essential functions of high availability systems (see 4.2 CCSC 1 Support of essential functions).  One example for providing this capability would be to support redundancy within the network device.</t>
      </text>
    </comment>
    <comment ref="M88" authorId="25" shapeId="0" xr:uid="{C5204B67-68E6-4215-B8E4-1CF955EAD6BC}">
      <text>
        <t>[Threaded comment]
Your version of Excel allows you to read this threaded comment; however, any edits to it will get removed if the file is opened in a newer version of Excel. Learn more: https://go.microsoft.com/fwlink/?linkid=870924
Comment:
    Declare the minimum use version for the app and support all newer versions starting with that. Block old versions with vulnerabilities</t>
      </text>
    </comment>
    <comment ref="M91" authorId="26" shapeId="0" xr:uid="{F996765C-C3FE-44E7-B2AD-D571CDE01965}">
      <text>
        <t>[Threaded comment]
Your version of Excel allows you to read this threaded comment; however, any edits to it will get removed if the file is opened in a newer version of Excel. Learn more: https://go.microsoft.com/fwlink/?linkid=870924
Comment:
    Management by PlayStore and appStore. Not applicable for Chinese stores (task of the developers and owner of the application)</t>
      </text>
    </comment>
    <comment ref="C94" authorId="27" shapeId="0" xr:uid="{D9488E3E-4671-4711-99BE-3B9E4CFD2564}">
      <text>
        <t xml:space="preserve">[Threaded comment]
Your version of Excel allows you to read this threaded comment; however, any edits to it will get removed if the file is opened in a newer version of Excel. Learn more: https://go.microsoft.com/fwlink/?linkid=870924
Comment:
    Rationale:
The purpose of tamper resistance mechanisms is to prevent an attempt by an attacker to execute an unauthorized physical action against an IACS device. Secondary to prevention, detection and response are essential should a tampering event occur.
Tamper resistance mechanisms are most effectively used in combinations to prevent access to any critical components. Tamper resistance consists of using specialized materials to make tampering of a device or module difficult. This can include such features as hardened enclosures, locks, encapsulation, or security screws. Putting in place tight airflow paths will increase the difficulty of probing the product internals.
The purpose of tamper evidence is to ensure that visible or electronic evidence remains when a tampering event occurs. Many simple evidence techniques are comprised of seals and tapes to make it obvious that there has been physical tampering. More sophisticated techniques include switches.
</t>
      </text>
    </comment>
    <comment ref="C100" authorId="28" shapeId="0" xr:uid="{B37AD5F5-88B9-4CF5-AFB9-1DECF8C5DD7E}">
      <text>
        <t xml:space="preserve">[Threaded comment]
Your version of Excel allows you to read this threaded comment; however, any edits to it will get removed if the file is opened in a newer version of Excel. Learn more: https://go.microsoft.com/fwlink/?linkid=870924
Comment:
    Rationale:
The purpose of tamper resistance mechanisms is to prevent an attempt by an attacker to execute an unauthorized physical action against an IACS device. Secondary to prevention, detection and response are essential should a tampering event occur.
Tamper resistance mechanisms are most effectively used in combinations to prevent access to any critical components. Tamper resistance consists of using specialized materials to make tampering of a device or module difficult. This can include such features as hardened enclosures, locks, encapsulation, or security screws. Putting in place tight airflow paths will increase the difficulty of probing the product internals.
The purpose of tamper evidence is to ensure that visible or electronic evidence remains when a tampering event occurs. Many simple evidence techniques are comprised of seals and tapes to make it obvious that there has been physical tampering. More sophisticated techniques include switches.
</t>
      </text>
    </comment>
    <comment ref="C106" authorId="29" shapeId="0" xr:uid="{2D5C1AF5-F24F-4C5C-B9E0-87178E92A185}">
      <text>
        <t xml:space="preserve">[Threaded comment]
Your version of Excel allows you to read this threaded comment; however, any edits to it will get removed if the file is opened in a newer version of Excel. Learn more: https://go.microsoft.com/fwlink/?linkid=870924
Comment:
    Rationale:
The purpose of tamper resistance mechanisms is to prevent an attempt by an attacker to execute an unauthorized physical action against an IACS device. Secondary to prevention, detection and response are essential should a tampering event occur.
Tamper resistance mechanisms are most effectively used in combinations to prevent access to any critical components. Tamper resistance consists of using specialized materials to make tampering of a device or module difficult. This can include such features as hardened enclosures, locks, encapsulation, or security screws. Putting in place tight airflow paths will increase the difficulty of probing the product internals.
The purpose of tamper evidence is to ensure that visible or electronic evidence remains when a tampering event occurs. Many simple evidence techniques are comprised of seals and tapes to make it obvious that there has been physical tampering. More sophisticated techniques include switches.
</t>
      </text>
    </comment>
    <comment ref="C112" authorId="30" shapeId="0" xr:uid="{762F817D-8CFD-43DC-878A-2A01D5D81167}">
      <text>
        <t xml:space="preserve">[Threaded comment]
Your version of Excel allows you to read this threaded comment; however, any edits to it will get removed if the file is opened in a newer version of Excel. Learn more: https://go.microsoft.com/fwlink/?linkid=870924
Comment:
    Rationale:
In order for a component to be able to validate the authenticity and integrity of the hardware, software, and data provided by the product supplier, it must possess a trusted source of data to perform the validation process.  This trusted source of data is referred to as the “root of trust” for the system.  This trusted source of data may be a set of cryptographic hashes of “known good” software, or it may be the public portion of an asymmetric cryptographic key pair to be used in the validation of cryptographic signatures.  This trusted data is often used to validate critical software, firmware, and data prior to booting the firmware or operating system of a component, in order to validate that the component will boot into a “known good” state in which all security mechanisms are known to be operational and uncompromised.  “Root of trust” data is often protected via hardware mechanisms, preventing any modification of the data during normal operations of the component.  Modification of product supplier root of trust data is typically limited to the product supplier’s provisioning process, where the product supplier has a trusted process to perform the provisioning of the data.  Instead, information to be validated against the root of trust is submitted to the validation process through a hardware or software API which performs the validation and returns the results without exposing the protected data.  </t>
      </text>
    </comment>
    <comment ref="M112" authorId="31" shapeId="0" xr:uid="{11D3BE3C-A396-4E60-BF43-71E79EE9A362}">
      <text>
        <t>[Threaded comment]
Your version of Excel allows you to read this threaded comment; however, any edits to it will get removed if the file is opened in a newer version of Excel. Learn more: https://go.microsoft.com/fwlink/?linkid=870924
Comment:
    Platform may allow or not to allow installing roots of trust.</t>
      </text>
    </comment>
    <comment ref="C115" authorId="32" shapeId="0" xr:uid="{C0830A86-1F8A-4311-8B23-5208FE4CF7B2}">
      <text>
        <t xml:space="preserve">[Threaded comment]
Your version of Excel allows you to read this threaded comment; however, any edits to it will get removed if the file is opened in a newer version of Excel. Learn more: https://go.microsoft.com/fwlink/?linkid=870924
Comment:
    Rationale:
In order for a component to be able to validate the authenticity and integrity of the hardware, software, and data provided by the product supplier, it must possess a trusted source of data to perform the validation process.  This trusted source of data is referred to as the “root of trust” for the system.  This trusted source of data may be a set of cryptographic hashes of “known good” software, or it may be the public portion of an asymmetric cryptographic key pair to be used in the validation of cryptographic signatures.  This trusted data is often used to validate critical software, firmware, and data prior to booting the firmware or operating system of a component, in order to validate that the component will boot into a “known good” state in which all security mechanisms are known to be operational and uncompromised. “Root of trust” data can be protected by software or hardware implemented mechanisms to prevent any modification of the data during normal operations of the component. Modification of product supplier root of trust data is typically limited to the product supplier’s provisioning process, where the product supplier has a trusted process to perform the provisioning of the data.  Instead, information to be validated against the root of trust is submitted to the validation process through a hardware or software API which performs the validation and returns the results without exposing the protected data.  </t>
      </text>
    </comment>
    <comment ref="M115" authorId="33" shapeId="0" xr:uid="{E401AE75-D659-4D6F-BD82-4A85AB52724B}">
      <text>
        <t>[Threaded comment]
Your version of Excel allows you to read this threaded comment; however, any edits to it will get removed if the file is opened in a newer version of Excel. Learn more: https://go.microsoft.com/fwlink/?linkid=870924
Comment:
    MP-7.4 and 7.5 are not applicable for this point</t>
      </text>
    </comment>
    <comment ref="C118" authorId="34" shapeId="0" xr:uid="{6DB4BC3F-6655-4E2D-B95F-076300210C32}">
      <text>
        <t xml:space="preserve">[Threaded comment]
Your version of Excel allows you to read this threaded comment; however, any edits to it will get removed if the file is opened in a newer version of Excel. Learn more: https://go.microsoft.com/fwlink/?linkid=870924
Comment:
    Rationale:
In order for a component to be able to validate the authenticity and integrity of the hardware, software, and data provided by the product supplier, it must possess a trusted source of data to perform the validation process.  This trusted source of data is referred to as the “root of trust” for the system.  This trusted source of data may be a set of cryptographic hashes of “known good” software, or it may be the public portion of an asymmetric cryptographic key pair to be used in the validation of cryptographic signatures.  This trusted data is often used to validate critical software, firmware, and data prior to booting the firmware or operating system of a component, in order to validate that the component will boot into a “known good” state in which all security mechanisms are known to be operational and uncompromised.  “Root of trust” data is often protected by software or hardware implemented mechanisms, to prevent any modification of the data during normal operations of the component.  Modification of product supplier root of trust data is typically limited to the product supplier’s provisioning process, where the product supplier has a trusted process to perform the provisioning of the data.  Instead, information to be validated against the root of trust is submitted to the validation process through a hardware or software API which performs the validation and returns the results without exposing the protected data.  </t>
      </text>
    </comment>
    <comment ref="C121" authorId="35" shapeId="0" xr:uid="{03CE0296-ED2B-4E54-9CCB-BB80C1ABD5BE}">
      <text>
        <t xml:space="preserve">[Threaded comment]
Your version of Excel allows you to read this threaded comment; however, any edits to it will get removed if the file is opened in a newer version of Excel. Learn more: https://go.microsoft.com/fwlink/?linkid=870924
Comment:
    Rationale:
Product suppliers have established mechanisms to ensure that the software and firmware on their components is authentic, and the integrity of that software and firmware has not been compromised. This allows the product supplier to provide the asset owner with a “known good” state from which to operate.  However, many product suppliers also provide mechanisms for asset owners to extend the functionality of their devices through the use of mobile code, user programs, or other such means.  In order to protect the security of the component, it is important that these extensions to the component’s functionality also be validated to ensure that they are authorized, and that the asset owner has approved of their origins.
In order to perform these validations the component must contain data that provides a way to differentiate between valid and invalid origins.  The list of valid and invalid origins will differ from asset owner to asset owner, and it is unlikely that a product supplier will have a complete list of every possible valid origin at time of manufacture.  Therefore it is important that the product supplier provide a way for the asset owner to securely provision their own “roots of trust” which provide the ability to distinguish between origins allowed by the asset owner’s security policy, and those that are not.  The authenticity and integrity of these “roots of trust” must be protected so that malicious actors cannot add additional roots of trust that grant them the ability to operate on the component.     
A root of trust can also be used as a basis communications security, such as communications integrity required by CR 3.1 – Communication integrity or communications confidentiality required by CR 4.1 – Information confidentiality.  
Requirements such as EDR 2.4 – Mobile code require the component to complete authenticity checks on mobile code prior to the execution of mobile code.  The roots of trust provided by this requirement provide the data necessary to validate the origin and integrity of mobile code, allowing the component to independently determine if the code is allowed to execute.
</t>
      </text>
    </comment>
    <comment ref="M121" authorId="36" shapeId="0" xr:uid="{B2BE8ACC-75C2-4630-8732-12E54C554EEC}">
      <text>
        <t>[Threaded comment]
Your version of Excel allows you to read this threaded comment; however, any edits to it will get removed if the file is opened in a newer version of Excel. Learn more: https://go.microsoft.com/fwlink/?linkid=870924
Comment:
    Same as HDR 3.12</t>
      </text>
    </comment>
    <comment ref="C125" authorId="37" shapeId="0" xr:uid="{54EF52B8-53F1-4BC3-9FC5-33B629522D8C}">
      <text>
        <t>[Threaded comment]
Your version of Excel allows you to read this threaded comment; however, any edits to it will get removed if the file is opened in a newer version of Excel. Learn more: https://go.microsoft.com/fwlink/?linkid=870924
Comment:
    Rationale:
Product suppliers have established mechanisms to ensure that the software and firmware on their components is authentic, and the integrity of that software and firmware has not been compromised. This allows the product supplier to provide the asset owner with a “known good” state from which to operate.  However, many product suppliers also provide mechanisms for asset owners to extend the functionality of their devices through the use of mobile code, user programs, or other such means.  In order to protect the security of the component, it is important that these extensions to the component’s functionality also be validated to ensure that they are authorized, and that the asset owner has approved of their origins.
In order perform these validations the component must contain data that provides a way to differentiate between valid and invalid origins.  The list of valid and invalid origins will differ from asset owner to asset owner, and it is unlikely that a product supplier will have a complete list of every possible valid origin at time of manufacture.  Therefore it is important that the product supplier provide a way for the asset owner to securely provision their own “roots of trust” which provide the ability to distinguish between origins allowed by the asset owner’s security policy, and those that are not.  The authenticity and integrity of these “roots of trust” must be protected so that malicious actors cannot add additional roots of trust that grant them the ability to operate on the component.     
Requirements such as EDR 2.4 – Mobile code require the component to complete authenticity checks on mobile code prior to the execution of mobile code.  The roots of trust provided by this requirement provide the data necessary to validate the origin and integrity of mobile code, allowing the component to independently determine if the code is allowed to execute.
A root of trust can also be used as a basis communications security, such as communications integrity required by CR 3.1 – Communication integrity or communications confidentiality required by CR 4.1 – Information confidentiality.</t>
      </text>
    </comment>
    <comment ref="C129" authorId="38" shapeId="0" xr:uid="{0A9BA775-0EC7-4693-A5E8-3705AB43ADE2}">
      <text>
        <t>[Threaded comment]
Your version of Excel allows you to read this threaded comment; however, any edits to it will get removed if the file is opened in a newer version of Excel. Learn more: https://go.microsoft.com/fwlink/?linkid=870924
Comment:
    Rationale:
Product suppliers have established mechanisms to ensure that the software and firmware on their components is authentic, and the integrity of that software and firmware has not been compromised. This allows the product supplier to provide the asset owner with a “known good” state from which to operate.  However, many product suppliers also provide mechanisms for asset owners to extend the functionality of their devices through the use of mobile code, user programs, or other such means.  In order to protect the security of the component, it is important that these extensions to the component’s functionality also be validated to ensure that they are authorized, and that the asset owner has approved of their origins.
In order to perform these validations the component must contain data that provides a way to differentiate between valid and invalid origins.  The list of valid and invalid origins will differ from asset owner to asset owner, and it is unlikely that a product supplier will have a complete list of every possible valid origin at time of manufacture.  Therefore it is important that the product supplier provide a way for the asset owner to securely provision their own “roots of trust” which provide the ability to distinguish between origins allowed by the asset owner’s security policy, and those that are not.  The authenticity and integrity of these “roots of trust” must be protected so that malicious actors cannot add additional roots of trust that grant them the ability to operate on the component.     
Requirements such as NDR 2.4 – Mobile coderequire the component to complete authenticity checks on mobile code prior to the execution of mobile code.  The roots of trust provided by this requirement provide the data necessary to validate the origin and integrity of mobile code, allowing the component to independently determine if the code is allowed to execute.
A root of trust is used to provide communications security, such as communications integrity required by CR 3.1 – Communication integrity or communications confidentiality required by CR 4.1 – Information confidentiality.</t>
      </text>
    </comment>
    <comment ref="C133" authorId="39" shapeId="0" xr:uid="{9727F1D7-FAF5-49DC-B1ED-15C344A51022}">
      <text>
        <t>[Threaded comment]
Your version of Excel allows you to read this threaded comment; however, any edits to it will get removed if the file is opened in a newer version of Excel. Learn more: https://go.microsoft.com/fwlink/?linkid=870924
Comment:
    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
      </text>
    </comment>
    <comment ref="C134" authorId="40" shapeId="0" xr:uid="{D3A3235A-A2A4-4080-9379-35B3FD32D048}">
      <text>
        <t>[Threaded comment]
Your version of Excel allows you to read this threaded comment; however, any edits to it will get removed if the file is opened in a newer version of Excel. Learn more: https://go.microsoft.com/fwlink/?linkid=870924
Comment:
    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
      </text>
    </comment>
    <comment ref="C135" authorId="41" shapeId="0" xr:uid="{D84128BC-42A7-4336-AF0F-9B787963236E}">
      <text>
        <t>[Threaded comment]
Your version of Excel allows you to read this threaded comment; however, any edits to it will get removed if the file is opened in a newer version of Excel. Learn more: https://go.microsoft.com/fwlink/?linkid=870924
Comment:
    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
      </text>
    </comment>
    <comment ref="C141" authorId="42" shapeId="0" xr:uid="{EDE3A1CC-1675-4A8F-9697-C52DBB384449}">
      <text>
        <t>[Threaded comment]
Your version of Excel allows you to read this threaded comment; however, any edits to it will get removed if the file is opened in a newer version of Excel. Learn more: https://go.microsoft.com/fwlink/?linkid=870924
Comment:
    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the boot process, to ensure that the component does not boot into an insecure or invalid operating state that could damage the component or provide a path for a malicious actor to gain access to additional components, assets, or data.</t>
      </text>
    </comment>
    <comment ref="C142" authorId="43" shapeId="0" xr:uid="{94F2B016-9C2C-4AF4-9BC7-9DF5CB3D3218}">
      <text>
        <t>[Threaded comment]
Your version of Excel allows you to read this threaded comment; however, any edits to it will get removed if the file is opened in a newer version of Excel. Learn more: https://go.microsoft.com/fwlink/?linkid=870924
Comment:
    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the boot process, to ensure that the component does not boot into an insecure or invalid operating state that could damage the component or provide a path for a malicious actor to gain access to additional components, assets, or data.</t>
      </text>
    </comment>
    <comment ref="C143" authorId="44" shapeId="0" xr:uid="{AC7FF905-8052-46C6-A6D6-11114B46FA47}">
      <text>
        <t>[Threaded comment]
Your version of Excel allows you to read this threaded comment; however, any edits to it will get removed if the file is opened in a newer version of Excel. Learn more: https://go.microsoft.com/fwlink/?linkid=870924
Comment:
    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the boot process, to ensure that the component does not boot into an insecure or invalid operating state that could damage the component or provide a path for a malicious actor to gain access to additional components, assets, or data.</t>
      </text>
    </comment>
    <comment ref="C149" authorId="45" shapeId="0" xr:uid="{6C14C8FA-4FE0-484C-9AA7-B6CBE63DCE98}">
      <text>
        <t>[Threaded comment]
Your version of Excel allows you to read this threaded comment; however, any edits to it will get removed if the file is opened in a newer version of Excel. Learn more: https://go.microsoft.com/fwlink/?linkid=870924
Comment:
    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
      </text>
    </comment>
    <comment ref="M149" authorId="46" shapeId="0" xr:uid="{2BE56458-4239-4EA5-9A9D-9A1AA7B94194}">
      <text>
        <t>[Threaded comment]
Your version of Excel allows you to read this threaded comment; however, any edits to it will get removed if the file is opened in a newer version of Excel. Learn more: https://go.microsoft.com/fwlink/?linkid=870924
Comment:
    NA. Mobile application does not manage boot of the device.</t>
      </text>
    </comment>
    <comment ref="C150" authorId="47" shapeId="0" xr:uid="{ABC6C5DF-A1BF-4998-928D-581A4B408082}">
      <text>
        <t>[Threaded comment]
Your version of Excel allows you to read this threaded comment; however, any edits to it will get removed if the file is opened in a newer version of Excel. Learn more: https://go.microsoft.com/fwlink/?linkid=870924
Comment:
    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
      </text>
    </comment>
    <comment ref="C151" authorId="48" shapeId="0" xr:uid="{9ACE3C0C-8FCE-4B3F-8FBA-C06184883577}">
      <text>
        <t>[Threaded comment]
Your version of Excel allows you to read this threaded comment; however, any edits to it will get removed if the file is opened in a newer version of Excel. Learn more: https://go.microsoft.com/fwlink/?linkid=870924
Comment:
    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tc={9CDA21A8-D0DD-4DEE-9FB5-9ED91EED2FE6}</author>
    <author>tc={3B13F792-0036-4EA6-992B-ED376BAE8D4D}</author>
    <author>tc={1188A3E8-C6BF-448F-B622-D98F618DFB0F}</author>
    <author>tc={F1A01C3F-7C48-453F-AF42-D5082E58CE77}</author>
    <author>tc={41CAFB1B-270F-4013-BA0D-7731A0F1E6D0}</author>
    <author>tc={7EA1F4F3-4ABD-4F56-AD6C-F63A8850A7E8}</author>
  </authors>
  <commentList>
    <comment ref="F2" authorId="0" shapeId="0" xr:uid="{9CDA21A8-D0DD-4DEE-9FB5-9ED91EED2FE6}">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 ref="C10" authorId="1" shapeId="0" xr:uid="{3B13F792-0036-4EA6-992B-ED376BAE8D4D}">
      <text>
        <t xml:space="preserve">[Threaded comment]
Your version of Excel allows you to read this threaded comment; however, any edits to it will get removed if the file is opened in a newer version of Excel. Learn more: https://go.microsoft.com/fwlink/?linkid=870924
Comment:
    Rationale:
The decision whether a given information should be protected or not depends on the context and cannot be made at product design. However, the fact that an organization limits access to information by configuring explicit read authorizations in the control system is an indicator that this information should be protected by the organization. Thus, all information for which the component supports the capability to assign explicit read authorizations should be considered potentially sensitive and thus the component should also provide the capability to protect its confidentiality.
Confidentiality of information in transit requires system level capabilities which the component should be able to support.
For confidentiality protection, 8.5 CR 4.3 – Use of cryptography provides further requirements.
</t>
      </text>
    </comment>
    <comment ref="M11" authorId="2" shapeId="0" xr:uid="{1188A3E8-C6BF-448F-B622-D98F618DFB0F}">
      <text>
        <t>[Threaded comment]
Your version of Excel allows you to read this threaded comment; however, any edits to it will get removed if the file is opened in a newer version of Excel. Learn more: https://go.microsoft.com/fwlink/?linkid=870924
Comment:
    Check 3-3 text</t>
      </text>
    </comment>
    <comment ref="C14" authorId="3" shapeId="0" xr:uid="{F1A01C3F-7C48-453F-AF42-D5082E58CE77}">
      <text>
        <t xml:space="preserve">[Threaded comment]
Your version of Excel allows you to read this threaded comment; however, any edits to it will get removed if the file is opened in a newer version of Excel. Learn more: https://go.microsoft.com/fwlink/?linkid=870924
Comment:
    Rationale:
Removal of a control system component from active service should not provide the opportunity for unintentional release of information for which explicit read authorization is supported. An example of such information can include authentication information and network configuration information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
</t>
      </text>
    </comment>
    <comment ref="C23" authorId="4" shapeId="0" xr:uid="{41CAFB1B-270F-4013-BA0D-7731A0F1E6D0}">
      <text>
        <t>[Threaded comment]
Your version of Excel allows you to read this threaded comment; however, any edits to it will get removed if the file is opened in a newer version of Excel. Learn more: https://go.microsoft.com/fwlink/?linkid=870924
Comment:
    Rationale:
The selection of cryptographic protection should be based on a threat and risk analysis which covers the value of the information being protected, the consequences of the confidentiality and integrity of the information being breached, the time period during which the information is confidential and control system operating constraints. This can involve either information at rest, in transit, or both. Note that backups are an example of information at rest, and should be considered as part of a data confidentiality and integrity assessment process. The control system product supplier should document the practices and procedures relating to cryptographic key establishment and management. The control system should utilize established and tested encryption and hash algorithms, such as the advanced encryption standard (AES) and the secure hash algorithm (SHA) series, and key sizes based on an assigned standard. Key generation needs to be performed using an effective random number generator. The security policies and procedures for key management need to address periodic key changes, key destruction, key distribution and encryption key backup in accordance with defined standards. Generally accepted practices and recommendations can be found in documents such as NIST SP 800-57, Recommendation for Key Management, Part 1: General. Implementation requirements can be found for example in FIPS 140-2, Security Requirements for Cryptographic Modules or ISO/IEC 19790, Information technology – Security techniques – Security requirements for cryptographic modules. 
This CR, along with 5.10, CR 1.8 – Public key infrastructure certificates may be applicable when meeting many other requirements defined within this document.</t>
      </text>
    </comment>
    <comment ref="M23" authorId="5" shapeId="0" xr:uid="{7EA1F4F3-4ABD-4F56-AD6C-F63A8850A7E8}">
      <text>
        <t>[Threaded comment]
Your version of Excel allows you to read this threaded comment; however, any edits to it will get removed if the file is opened in a newer version of Excel. Learn more: https://go.microsoft.com/fwlink/?linkid=870924
Comment:
    export compliance checks needs to be documented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tc={A2A1AA2E-59C1-4705-B037-C093C792EE67}</author>
    <author>tc={9C35DFB5-6877-4080-8036-1510BCCF67FC}</author>
    <author>tc={7405215B-B656-4333-A1A9-0110951FA2E4}</author>
    <author>tc={11A23016-CB52-47FD-886D-91280F3A69B9}</author>
  </authors>
  <commentList>
    <comment ref="F2" authorId="0" shapeId="0" xr:uid="{A2A1AA2E-59C1-4705-B037-C093C792EE67}">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 ref="C10" authorId="1" shapeId="0" xr:uid="{9C35DFB5-6877-4080-8036-1510BCCF67FC}">
      <text>
        <t xml:space="preserve">[Threaded comment]
Your version of Excel allows you to read this threaded comment; however, any edits to it will get removed if the file is opened in a newer version of Excel. Learn more: https://go.microsoft.com/fwlink/?linkid=870924
Comment:
    Rationale:
Network segmentation is used by organizations for a variety of purposes, including cyber security. The main reasons for segmenting networks are to reduce the exposure, or ingress, of network traffic into a control system and reduce the spread, or egress, of network traffic from a control system. This improves overall system response and reliability as well as provides a measure of cyber security protection. It also allows different network segments within the control system, including critical control systems and safety-related systems, to be segmented from other systems for an additional level of protection. 
Access from the control system to the World Wide Web should be clearly justified based on control system operational requirements. 
Network segmentation and the level of protection it provides will vary greatly depending on the overall network architecture used by an asset owner in their facility and even system integrators within their control systems. Logically segmenting networks based on their functionality provides some measure of protection, but may still lead to single-points-of-failure if a network device is compromised. Physically segmenting networks provides another level of protection by removing that single-point-of-failure case, but will lead to a more complex and costly network design. These trade-offs will need to be evaluated during the network design process (see ISA 62443 2 1 (99.02.01)). 
In response to an incident, it may be necessary to break the connections between different network segments. In that event, the services necessary to support essential operations should be maintained in such a way that the devices can continue to operate properly and/or shutdown in an orderly manner. This may require that some servers may need to be duplicated on the control system network to support normal network features, for example dynamic host configuration protocol (DHCP), domain name service (DNS) or local CAs. It may also mean that some critical control systems and safety-related systems be designed from the beginning to be completely isolated from other networks. 
</t>
      </text>
    </comment>
    <comment ref="C13" authorId="2" shapeId="0" xr:uid="{7405215B-B656-4333-A1A9-0110951FA2E4}">
      <text>
        <t>[Threaded comment]
Your version of Excel allows you to read this threaded comment; however, any edits to it will get removed if the file is opened in a newer version of Excel. Learn more: https://go.microsoft.com/fwlink/?linkid=870924
Comment:
    Rationale:
Any connections to outside each security zone should occur through managed interfaces consisting of appropriate boundary protection devices (for example, proxies, gateways, routers, firewalls, unidirectional gateways, guards and encrypted tunnels) arranged in an effective architecture (for example, firewalls protecting application gateways residing in a DMZ). Control system boundary protections at any designated alternate processing sites should provide the same levels of protection as that of the primary site.</t>
      </text>
    </comment>
    <comment ref="C25" authorId="3" shapeId="0" xr:uid="{11A23016-CB52-47FD-886D-91280F3A69B9}">
      <text>
        <t>[Threaded comment]
Your version of Excel allows you to read this threaded comment; however, any edits to it will get removed if the file is opened in a newer version of Excel. Learn more: https://go.microsoft.com/fwlink/?linkid=870924
Comment:
    Rationale: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that are not related to control system operations, and therefore the risks imposed by these systems normally outweigh any perceived benefit.
These types of general purpose communications systems are commonly used as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Network devices could realize such restrictions, for example, by blocking specific communications based on port numbers and source and/or target address as well as more in depth checks by application layer firewalls.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tc={EE1EB1DB-679F-4633-815F-1B8688E54686}</author>
    <author>tc={2E21E41A-1855-4E60-9EAC-5806F9EEDB88}</author>
    <author>tc={48BB5BCB-CC4E-4719-990E-7C9667912F94}</author>
  </authors>
  <commentList>
    <comment ref="F2" authorId="0" shapeId="0" xr:uid="{EE1EB1DB-679F-4633-815F-1B8688E54686}">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 ref="C10" authorId="1" shapeId="0" xr:uid="{2E21E41A-1855-4E60-9EAC-5806F9EEDB88}">
      <text>
        <t xml:space="preserve">[Threaded comment]
Your version of Excel allows you to read this threaded comment; however, any edits to it will get removed if the file is opened in a newer version of Excel. Learn more: https://go.microsoft.com/fwlink/?linkid=870924
Comment:
    Rationale:
The applications and devices may generate audit records about events occurring in that application or device (see 6.10). Access to these audit logs is necessary to support filtering audit logs, identifying and removing information that is redundant, reviewing and reporting activity during after-the-fact investigations of security incidents. In general, audit reduction and report generation should be performed on a separate information system. Manual access to the audit records (such as, screen views or printouts) is sufficient for meeting the base requirement, but is insufficient for higher SLs. Programmatic access is commonly used to provide the audit log information to analysis mechanisms such as security information and event management (SIEM). See relevant SRs in Clauses 5, 6 and 9 regarding the creation of, protection of and access to audit logs.
</t>
      </text>
    </comment>
    <comment ref="C16" authorId="2" shapeId="0" xr:uid="{48BB5BCB-CC4E-4719-990E-7C9667912F94}">
      <text>
        <t xml:space="preserve">[Threaded comment]
Your version of Excel allows you to read this threaded comment; however, any edits to it will get removed if the file is opened in a newer version of Excel. Learn more: https://go.microsoft.com/fwlink/?linkid=870924
Comment:
    Rationale:
Control system monitoring capability can be achieved through a variety of tools and techniques (for example, IDS, intrusion prevention system (IPS), protection from malicious code mechanisms and network monitoring mechanisms). As attacks become more sophisticated, these monitoring tools and techniques will need to become more sophisticated as well, including for example behavior-based IDS/IPS. 
Monitoring devices should be strategically deployed within the control system (for example, at selected perimeter locations and near server farms supporting critical applications) to collect essential information. Monitoring mechanisms may also be deployed at ad hoc locations within the control system to track specific transactions. 
Monitoring should include appropriate reporting mechanisms to allow for a timely response to events. To keep the reporting focused and the amount of reported information to a level that can be processed by the recipients, mechanisms such as SIEM are commonly applied to correlate individual events into aggregate reports that establish a larger context in which the raw events occurred.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tc={267B919D-0F99-4F9E-A426-512427E2F000}</author>
    <author>tc={293291DA-9153-4A6C-8B20-B592C3E4C22E}</author>
    <author>tc={527A22FC-6D2D-4135-8B95-79838FD49E1D}</author>
    <author>tc={F196BCEA-72ED-48DE-9BF6-D755123DE4F6}</author>
    <author>tc={ECB72FEE-B854-46F0-A382-38512F7403E0}</author>
    <author>tc={B1A4E0ED-2B3F-4F1A-8DC4-DB0D909D05F4}</author>
    <author>tc={9FF9B5A0-C7E3-4B54-9F43-3C50D3C540F1}</author>
    <author>tc={A1C4CBB2-3228-4EA1-B5F4-18B6643921DE}</author>
    <author>tc={871DF686-BD26-4FB3-BAD1-2A01DB9D966B}</author>
    <author>tc={1F5CF43E-6799-4522-959C-2EAAA954C5B4}</author>
    <author>tc={5C741D23-A07D-4181-87A4-89872FB5A9B5}</author>
  </authors>
  <commentList>
    <comment ref="F2" authorId="0" shapeId="0" xr:uid="{267B919D-0F99-4F9E-A426-512427E2F000}">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 ref="C10" authorId="1" shapeId="0" xr:uid="{293291DA-9153-4A6C-8B20-B592C3E4C22E}">
      <text>
        <t>[Threaded comment]
Your version of Excel allows you to read this threaded comment; however, any edits to it will get removed if the file is opened in a newer version of Excel. Learn more: https://go.microsoft.com/fwlink/?linkid=870924
Comment:
    Rationale:
Components may be subjected to different forms of DoS situations. When these occur the component should be designed in such a manner that it maintains essential functions necessary for continued safe operations while in a degraded mode.</t>
      </text>
    </comment>
    <comment ref="C16" authorId="2" shapeId="0" xr:uid="{527A22FC-6D2D-4135-8B95-79838FD49E1D}">
      <text>
        <t>[Threaded comment]
Your version of Excel allows you to read this threaded comment; however, any edits to it will get removed if the file is opened in a newer version of Excel. Learn more: https://go.microsoft.com/fwlink/?linkid=870924
Comment:
    Rationale:
Resource management (for example, network segmentation or priority schemes) prevents a lower-priority software process from delaying or interfering with the control system servicing any higher-priority software process. For example, initiating network scans, patching and/or antivirus checks on an operating system can cause severe disruption to normal operations. Traffic rate limiting schemes should be considered as a mitigation technique.</t>
      </text>
    </comment>
    <comment ref="C19" authorId="3" shapeId="0" xr:uid="{F196BCEA-72ED-48DE-9BF6-D755123DE4F6}">
      <text>
        <t xml:space="preserve">[Threaded comment]
Your version of Excel allows you to read this threaded comment; however, any edits to it will get removed if the file is opened in a newer version of Excel. Learn more: https://go.microsoft.com/fwlink/?linkid=870924
Comment:
    Rationale:
The availability of up-to-date backups is essential for recovery from a control system failure and/or mis-configuration. Automating this function ensures that all required files are captured, reducing operator overhead.
When designing to support a backup capability, consideration should be given to information that will be stored in backups. Some of this information may contain personally identifiable information (PII), cryptographic keys and other information that is protected through security controls while part of the system. Once the information is placed into a backup it most likely will not have the same controls in place to protect it. Thus the component backup ability needs to include the mechanisms to support the necessary protection of the information that is contained in the backup. This may include encryption of the backup, encryption of the sensitive data as part of the backup procedure or not including the sensitive information as part of the backup. If the backup is encrypted it is important not to include the cryptographic keys as part of the backup but to backup the cryptographic keys as part of a separate more secure backup procedure.
</t>
      </text>
    </comment>
    <comment ref="C25" authorId="4" shapeId="0" xr:uid="{ECB72FEE-B854-46F0-A382-38512F7403E0}">
      <text>
        <t>[Threaded comment]
Your version of Excel allows you to read this threaded comment; however, any edits to it will get removed if the file is opened in a newer version of Excel. Learn more: https://go.microsoft.com/fwlink/?linkid=870924
Comment:
    Rationale:
Component recovery and reconstitution to a known secure state means that all system parameters (either default or configurable) are set to secure values, security-critical patches are reinstalled, security-related configuration settings are reestablished, system documentation and operating procedures are available, components are reinstalled and configured with established settings, information from the most recent, known secure backups is loaded and the system is fully tested and functional.</t>
      </text>
    </comment>
    <comment ref="C31" authorId="5" shapeId="0" xr:uid="{B1A4E0ED-2B3F-4F1A-8DC4-DB0D909D05F4}">
      <text>
        <t xml:space="preserve">[Threaded comment]
Your version of Excel allows you to read this threaded comment; however, any edits to it will get removed if the file is opened in a newer version of Excel. Learn more: https://go.microsoft.com/fwlink/?linkid=870924
Comment:
    Rationale:
These configuration settings are the adjustable parameters of the control system components. By default the component should be configured to the recommended settings. In order for a component to detect and correct any deviations from the approved and/or recommended configuration settings, the component needs to support monitoring and control of changes to the configuration settings in accordance with security policies and procedures. </t>
      </text>
    </comment>
    <comment ref="C32" authorId="6" shapeId="0" xr:uid="{9FF9B5A0-C7E3-4B54-9F43-3C50D3C540F1}">
      <text>
        <t xml:space="preserve">[Threaded comment]
Your version of Excel allows you to read this threaded comment; however, any edits to it will get removed if the file is opened in a newer version of Excel. Learn more: https://go.microsoft.com/fwlink/?linkid=870924
Comment:
    Rationale:
These configuration settings are the adjustable parameters of the control system components. By default the component should be configured to the recommended settings. In order for a component to detect and correct any deviations from the approved and/or recommended configuration settings, the component needs to support monitoring and control of changes to the configuration settings in accordance with security policies and procedures. </t>
      </text>
    </comment>
    <comment ref="M35" authorId="7" shapeId="0" xr:uid="{A1C4CBB2-3228-4EA1-B5F4-18B6643921DE}">
      <text>
        <t>[Threaded comment]
Your version of Excel allows you to read this threaded comment; however, any edits to it will get removed if the file is opened in a newer version of Excel. Learn more: https://go.microsoft.com/fwlink/?linkid=870924
Comment:
    In mobila application context no use case found.</t>
      </text>
    </comment>
    <comment ref="C38" authorId="8" shapeId="0" xr:uid="{871DF686-BD26-4FB3-BAD1-2A01DB9D966B}">
      <text>
        <t>[Threaded comment]
Your version of Excel allows you to read this threaded comment; however, any edits to it will get removed if the file is opened in a newer version of Excel. Learn more: https://go.microsoft.com/fwlink/?linkid=870924
Comment:
    Rationale:
Components are capable of providing a wide variety of functions and services. Some of the functions and services provided may not be necessary to support IACS functionality. Therefore, by default, functions beyond a baseline configuration should be disabled. Additionally, it is sometimes convenient to provide multiple services from a single component of a control system, but doing so increases the risk compared to limiting the services provided by any one component.</t>
      </text>
    </comment>
    <comment ref="C41" authorId="9" shapeId="0" xr:uid="{1F5CF43E-6799-4522-959C-2EAAA954C5B4}">
      <text>
        <t>[Threaded comment]
Your version of Excel allows you to read this threaded comment; however, any edits to it will get removed if the file is opened in a newer version of Excel. Learn more: https://go.microsoft.com/fwlink/?linkid=870924
Comment:
    Rationale:
Components may bring their own set of components into the overall control system. When this is the case then those components need to provide a mechanism to augment the overall component inventory which is compatible with ISA‑62443‑2‑4 [8] SP.06.02.</t>
      </text>
    </comment>
    <comment ref="M41" authorId="10" shapeId="0" xr:uid="{5C741D23-A07D-4181-87A4-89872FB5A9B5}">
      <text>
        <t>[Threaded comment]
Your version of Excel allows you to read this threaded comment; however, any edits to it will get removed if the file is opened in a newer version of Excel. Learn more: https://go.microsoft.com/fwlink/?linkid=870924
Comment:
    In mobile application this could be plugin management/information view.</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tc={E752B30E-9CDE-4A31-BF6C-79F0B81F1DD4}</author>
    <author>tc={EDAD4CD0-6060-4F8E-8E8B-F9706EB8658A}</author>
    <author>tc={8BEB8A44-82CF-42B0-B32A-AB227C109D59}</author>
    <author>tc={54CAFFC6-3E90-444C-9041-E82305ACCC07}</author>
    <author>tc={1BEDA85C-CB3B-4250-946F-7685B7C6982E}</author>
  </authors>
  <commentList>
    <comment ref="F2" authorId="0" shapeId="0" xr:uid="{E752B30E-9CDE-4A31-BF6C-79F0B81F1DD4}">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 ref="C10" authorId="1" shapeId="0" xr:uid="{EDAD4CD0-6060-4F8E-8E8B-F9706EB8658A}">
      <text>
        <t>[Threaded comment]
Your version of Excel allows you to read this threaded comment; however, any edits to it will get removed if the file is opened in a newer version of Excel. Learn more: https://go.microsoft.com/fwlink/?linkid=870924
Comment:
    Rationale:
Components may be subjected to different forms of DoS situations. When these occur the component should be designed in such a manner that it maintains essential functions necessary for continued safe operations while in a degraded mode.</t>
      </text>
    </comment>
    <comment ref="C20" authorId="2" shapeId="0" xr:uid="{8BEB8A44-82CF-42B0-B32A-AB227C109D59}">
      <text>
        <t>[Threaded comment]
Your version of Excel allows you to read this threaded comment; however, any edits to it will get removed if the file is opened in a newer version of Excel. Learn more: https://go.microsoft.com/fwlink/?linkid=870924
Comment:
    Rationale:
Components may be subjected to different forms of DoS situations. When these occur the component should be designed in such a manner that it maintains essential functions necessary for continued safe operations while in a degraded mode.</t>
      </text>
    </comment>
    <comment ref="C23" authorId="3" shapeId="0" xr:uid="{54CAFFC6-3E90-444C-9041-E82305ACCC07}">
      <text>
        <t>[Threaded comment]
Your version of Excel allows you to read this threaded comment; however, any edits to it will get removed if the file is opened in a newer version of Excel. Learn more: https://go.microsoft.com/fwlink/?linkid=870924
Comment:
    Rationale:
Components may be subjected to different forms of DoS situations. When these occur the component should be designed in such a manner that it maintains essential functions necessary for continued safe operations while in a degraded mode.</t>
      </text>
    </comment>
    <comment ref="C26" authorId="4" shapeId="0" xr:uid="{1BEDA85C-CB3B-4250-946F-7685B7C6982E}">
      <text>
        <t>[Threaded comment]
Your version of Excel allows you to read this threaded comment; however, any edits to it will get removed if the file is opened in a newer version of Excel. Learn more: https://go.microsoft.com/fwlink/?linkid=870924
Comment:
    Rationale:
Components may be subjected to different forms of DoS situations. When these occur the component should be designed in such a manner that it maintains essential functions necessary for continued safe operations while in a degraded mode.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tc={6FF10DC0-A0E2-4E88-8F80-849DDDBEFD9A}</author>
  </authors>
  <commentList>
    <comment ref="F2" authorId="0" shapeId="0" xr:uid="{6FF10DC0-A0E2-4E88-8F80-849DDDBEFD9A}">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tc={6F4D5BD9-D7E5-49CA-9A2F-A9FF10A16109}</author>
  </authors>
  <commentList>
    <comment ref="F2" authorId="0" shapeId="0" xr:uid="{6F4D5BD9-D7E5-49CA-9A2F-A9FF10A16109}">
      <text>
        <t>[Threaded comment]
Your version of Excel allows you to read this threaded comment; however, any edits to it will get removed if the file is opened in a newer version of Excel. Learn more: https://go.microsoft.com/fwlink/?linkid=870924
Comment:
    Rationale:
In these columns
 the mappings to SL levels are given (corresponding to table B.1 in Annex B)</t>
      </text>
    </comment>
  </commentList>
</comments>
</file>

<file path=xl/sharedStrings.xml><?xml version="1.0" encoding="utf-8"?>
<sst xmlns="http://schemas.openxmlformats.org/spreadsheetml/2006/main" count="3068" uniqueCount="944">
  <si>
    <t>Overview:
This template is designed to be used as a tool in carrying out Step 2 of the  Product Security Assessment based on IEC 62443-4-2 . 
Step 2, Perform security evaluation, is carried out in a workshop with a qualified cyber security assessor (ABB Cyber Security Expert) and the Asset technical owner. The goal is to identify the gaps if the product does not meet the target SLs and present these findings to the product team.</t>
  </si>
  <si>
    <r>
      <rPr>
        <b/>
        <sz val="11"/>
        <color theme="1"/>
        <rFont val="Calibri"/>
        <family val="2"/>
        <scheme val="minor"/>
      </rPr>
      <t>Sheet SL Vector and Rating:</t>
    </r>
    <r>
      <rPr>
        <sz val="11"/>
        <color theme="1"/>
        <rFont val="Calibri"/>
        <family val="2"/>
        <scheme val="minor"/>
      </rPr>
      <t xml:space="preserve">
This sheet is used to record the SL-T Vector for the assessment of compliance to IEC 62443-4-2. In the simplest case, the product owner has specified one SL-T for the component. </t>
    </r>
  </si>
  <si>
    <t xml:space="preserve">Sheets FR1_IAC, FR2_UC, FR3_SI, FR4_DC, FR5_RDF, FR6_TRE, FR7_RA are used to record the conformance status for each component requirement which is rated according to the following: 
supported
supported with some restrictions/partly needs clarification
not supported
not applicable (needs strong justification!)
In the Comments field it is expected that a statement describing the functionality of the product that provides the conformance along with reference(s). The product documentation references need to include descriptions of the supported functionality and how to configure it.
The template can be used for each of the different types of components (SAR, EDR, HDR, NDR); also composite components. 
All CRs shall be filled in, where Not Applicable a justification shall be given. For the requirements that are specific for component types (SAR, EDR, HDR, NDR), any requirements that do not apply to the component under evaluation, are not filled in (these are left blank). </t>
  </si>
  <si>
    <r>
      <t xml:space="preserve">Sheet </t>
    </r>
    <r>
      <rPr>
        <b/>
        <sz val="11"/>
        <color theme="1"/>
        <rFont val="Calibri"/>
        <family val="2"/>
        <scheme val="minor"/>
      </rPr>
      <t xml:space="preserve">Requirements </t>
    </r>
    <r>
      <rPr>
        <sz val="11"/>
        <color theme="1"/>
        <rFont val="Calibri"/>
        <family val="2"/>
        <scheme val="minor"/>
      </rPr>
      <t>gives the complete list of the Requirements along with the rating. 
This sheet is protected, data shall not be entered directly in this sheet.</t>
    </r>
  </si>
  <si>
    <r>
      <t xml:space="preserve">Sheet </t>
    </r>
    <r>
      <rPr>
        <b/>
        <sz val="11"/>
        <color theme="1"/>
        <rFont val="Calibri"/>
        <family val="2"/>
        <scheme val="minor"/>
      </rPr>
      <t>Summary</t>
    </r>
    <r>
      <rPr>
        <sz val="11"/>
        <color theme="1"/>
        <rFont val="Calibri"/>
        <family val="2"/>
        <scheme val="minor"/>
      </rPr>
      <t xml:space="preserve"> is used to get a quick overview of the status (SL-C) for the selected SL-T.  
This sheet is protected, data shall not be entered directly in this sheet.
 Note that it is possible to filter out requirements that do not apply to the component type of the Component under Evaluation (e.g. if the product is a software application, use filtering to remove the EDR, NDR and HDR requirements from view).</t>
    </r>
  </si>
  <si>
    <t>Definitions: SL-T, SL-C, SL-A</t>
  </si>
  <si>
    <t>SL-T - Security Level Target for a component. This is the target security capability level for the component.
SL-C - Security Level Capability for a component. This is a statement of which security fucntionalities are supported, and can be used as a basis for compliance evalution/ certifications.
SL-A -Security Level Achieved for a component that is configured and in operation in a plant. This is a statement of which capabilites have been configured (what is actually achieved when the component is put to use). evaluation of the SL-A can be used as a basis for evaluation of security of the component in operation.</t>
  </si>
  <si>
    <t>IEC/ISA 99 62443-4-2 Edition 1</t>
  </si>
  <si>
    <t>Security for industrial automation and control systems</t>
  </si>
  <si>
    <t>Part 4-2: Technical security requirements for IACS components</t>
  </si>
  <si>
    <t>Edition 1.0</t>
  </si>
  <si>
    <t>2019-02</t>
  </si>
  <si>
    <t>Security Levels</t>
  </si>
  <si>
    <t>IAC</t>
  </si>
  <si>
    <t>UC</t>
  </si>
  <si>
    <t>SI</t>
  </si>
  <si>
    <t>DC</t>
  </si>
  <si>
    <t>RDF</t>
  </si>
  <si>
    <t>TRE</t>
  </si>
  <si>
    <t>RA</t>
  </si>
  <si>
    <t>SL 0</t>
  </si>
  <si>
    <t>No specific requirement or security protection necessary</t>
  </si>
  <si>
    <t xml:space="preserve">SL-T  Vector: </t>
  </si>
  <si>
    <t>SL 1</t>
  </si>
  <si>
    <t>Protection against casual or coincidental violation</t>
  </si>
  <si>
    <t>SL-C Vector Rating:</t>
  </si>
  <si>
    <t>SL 2</t>
  </si>
  <si>
    <t>Protection against intentional violation using simple means with low resources, generic skills, and low motivation</t>
  </si>
  <si>
    <t>SL 3</t>
  </si>
  <si>
    <t>Protection against intentional violation using sophisticated means with moderate resources, IACS specific skills, and moderate motivation</t>
  </si>
  <si>
    <t>SL 4</t>
  </si>
  <si>
    <t>Protection against intentional violation using sophisticated means with extended resources, IACS specific skills, and high motivation</t>
  </si>
  <si>
    <t/>
  </si>
  <si>
    <t>FR Targets</t>
  </si>
  <si>
    <t>FR</t>
  </si>
  <si>
    <t>Foundational requirements</t>
  </si>
  <si>
    <t>FR 1 - Identification and authentication control (IAC)</t>
  </si>
  <si>
    <t>Identification and authentication control</t>
  </si>
  <si>
    <t>Security level:</t>
  </si>
  <si>
    <t>Use control</t>
  </si>
  <si>
    <t>System integrity</t>
  </si>
  <si>
    <t>FR 2 - Use control (UC)</t>
  </si>
  <si>
    <t>Data confidentiality</t>
  </si>
  <si>
    <t>Restricted data flow</t>
  </si>
  <si>
    <t>Timely response to events</t>
  </si>
  <si>
    <t>FR 3 - System integrity (SI)</t>
  </si>
  <si>
    <t>Resource availability</t>
  </si>
  <si>
    <t>FR 4 - Data confidentiality (DC)</t>
  </si>
  <si>
    <t>FR 5 - Restricted data flow (RDF)</t>
  </si>
  <si>
    <t>FR 6 - Timely response to events (TRE)</t>
  </si>
  <si>
    <t>FR 7 - Resource availability (RA)</t>
  </si>
  <si>
    <t>Extracts from the IEC 62443 series of standards, including content related to requirements are under IEC copyright. 
The author thanks the International Electrotechnical Commission (IEC) for permission to reproduce Information from its International Standards. All such extracts are copyright of IEC, Geneva, Switzerland. All rights reserved. Further information on the IEC is available from www.iec.ch. IEC has no responsibility for the placement and context in which the extracts and contents are reproduced by the author, nor is IEC in any way responsible for the other content or accuracy therein.</t>
  </si>
  <si>
    <t>This workbook is intended as a compliance assessment tool for ABB Secure Development Life Cycle (SDLC) as well as for IEC 62443-4-1:2018. It uses Maturity Level 3.</t>
  </si>
  <si>
    <t>Assessment Information</t>
  </si>
  <si>
    <t>In this sheet the metadata about the assessment can be recorded.</t>
  </si>
  <si>
    <t>References</t>
  </si>
  <si>
    <t>In this sheet, reference document numbers and links can be listed that support the understanding of the assessment. It can be linked within the "Compliance Assessment" sheet by using the Reference ID, which could look like, e.g., #RID123</t>
  </si>
  <si>
    <t>Compliance Assessment</t>
  </si>
  <si>
    <t>This sheet contains all the relevant SDL requirements. Assessors can make comments about their findings and mark whether the requirements are considered fulfilled or not. With that information, compliance (or the compliance gap) can easily be documented by applying the respective filters.</t>
  </si>
  <si>
    <r>
      <t xml:space="preserve">In </t>
    </r>
    <r>
      <rPr>
        <b/>
        <sz val="11"/>
        <color rgb="FF000000"/>
        <rFont val="Calibri"/>
        <family val="2"/>
        <scheme val="minor"/>
      </rPr>
      <t>column A (category)</t>
    </r>
    <r>
      <rPr>
        <sz val="11"/>
        <color rgb="FF000000"/>
        <rFont val="Calibri"/>
        <family val="2"/>
        <scheme val="minor"/>
      </rPr>
      <t xml:space="preserve"> all line items are categorized based on IEC 62443-4-1 practices as either SM, SR, SD, SI, SVV, DM, SUM, SG or ABB.</t>
    </r>
  </si>
  <si>
    <r>
      <t>SM</t>
    </r>
    <r>
      <rPr>
        <sz val="11"/>
        <color rgb="FF000000"/>
        <rFont val="Calibri"/>
        <family val="2"/>
        <scheme val="minor"/>
      </rPr>
      <t xml:space="preserve"> =&gt; Security management
The purpose of the security management practice is to ensure that the security-related activities are adequately planned, documented and executed throughout the product’s life-cycle.</t>
    </r>
  </si>
  <si>
    <r>
      <t>SR</t>
    </r>
    <r>
      <rPr>
        <sz val="11"/>
        <color rgb="FF000000"/>
        <rFont val="Calibri"/>
        <family val="2"/>
        <scheme val="minor"/>
      </rPr>
      <t xml:space="preserve"> =&gt; Specification of security requirements
The processes specified by this practice are used to document the security capabilities that are required for a product along with the expected product security context.</t>
    </r>
  </si>
  <si>
    <r>
      <t>SD</t>
    </r>
    <r>
      <rPr>
        <sz val="11"/>
        <color rgb="FF000000"/>
        <rFont val="Calibri"/>
        <family val="2"/>
        <scheme val="minor"/>
      </rPr>
      <t xml:space="preserve"> =&gt; Secure by design
The processes specified by this practice are used to ensure that the product is secure by design including defense in depth.</t>
    </r>
  </si>
  <si>
    <r>
      <t>SI</t>
    </r>
    <r>
      <rPr>
        <sz val="11"/>
        <color rgb="FF000000"/>
        <rFont val="Calibri"/>
        <family val="2"/>
        <scheme val="minor"/>
      </rPr>
      <t xml:space="preserve"> =&gt; Secure implementation
The processes specified by this practice are used to ensure that the product features are implemented securely.</t>
    </r>
  </si>
  <si>
    <r>
      <t>SVV</t>
    </r>
    <r>
      <rPr>
        <sz val="11"/>
        <color rgb="FF000000"/>
        <rFont val="Calibri"/>
        <family val="2"/>
        <scheme val="minor"/>
      </rPr>
      <t xml:space="preserve"> =&gt; Secure verification and validation testing
The processes specified by this practice are used to document the security testing required to ensure that all the security requirements have been met for the product and that security of the product is maintained when it is used in its product security context and configured to employ its defense in depth strategy.</t>
    </r>
  </si>
  <si>
    <r>
      <t>DM</t>
    </r>
    <r>
      <rPr>
        <sz val="11"/>
        <color rgb="FF000000"/>
        <rFont val="Calibri"/>
        <family val="2"/>
        <scheme val="minor"/>
      </rPr>
      <t xml:space="preserve"> =&gt; Management of security-related issues
The processes specified by this practice are used for handling security-related issues of a product that has been configured to employ its defense in depth strategy
within the product security context.</t>
    </r>
  </si>
  <si>
    <r>
      <t>SUM</t>
    </r>
    <r>
      <rPr>
        <sz val="11"/>
        <color rgb="FF000000"/>
        <rFont val="Calibri"/>
        <family val="2"/>
        <scheme val="minor"/>
      </rPr>
      <t xml:space="preserve"> =&gt; Security update management
The processes specified by this practice are used to ensure that security updates associated with the product are tested for regressions and made available to product users in a timely manner.</t>
    </r>
  </si>
  <si>
    <r>
      <t xml:space="preserve">SG </t>
    </r>
    <r>
      <rPr>
        <sz val="11"/>
        <color rgb="FF000000"/>
        <rFont val="Calibri"/>
        <family val="2"/>
        <scheme val="minor"/>
      </rPr>
      <t>=&gt; Security guidelines
The processes specified by this practice are used to provide user documentation that describes how to integrate, configure, and maintain the defense in depth strategy of the product in accordance with its product security context.</t>
    </r>
  </si>
  <si>
    <r>
      <t>Column A (Category)</t>
    </r>
    <r>
      <rPr>
        <sz val="11"/>
        <color rgb="FF000000"/>
        <rFont val="Calibri"/>
        <family val="2"/>
        <scheme val="minor"/>
      </rPr>
      <t xml:space="preserve"> can be used to filter the requirements for the relevant IEC 62443-4-1 practice.</t>
    </r>
  </si>
  <si>
    <r>
      <t xml:space="preserve">Column D (Rationale) </t>
    </r>
    <r>
      <rPr>
        <sz val="11"/>
        <color rgb="FF000000"/>
        <rFont val="Calibri"/>
        <family val="2"/>
        <scheme val="minor"/>
      </rPr>
      <t>supplementary guidance to the requirements in column C. The rationale is copied from the IEC 62443-4-1 standard.</t>
    </r>
  </si>
  <si>
    <r>
      <t>Column E (ABB Guidance)</t>
    </r>
    <r>
      <rPr>
        <sz val="11"/>
        <color rgb="FF000000"/>
        <rFont val="Calibri"/>
        <family val="2"/>
        <scheme val="minor"/>
      </rPr>
      <t xml:space="preserve"> additional ABB guidelines for fulfillment of requirements in column C.</t>
    </r>
  </si>
  <si>
    <r>
      <rPr>
        <b/>
        <sz val="11"/>
        <color theme="1"/>
        <rFont val="Calibri"/>
        <family val="2"/>
        <scheme val="minor"/>
      </rPr>
      <t>Column G (Assessor's Comments)</t>
    </r>
    <r>
      <rPr>
        <sz val="11"/>
        <color theme="1"/>
        <rFont val="Calibri"/>
        <family val="2"/>
        <scheme val="minor"/>
      </rPr>
      <t xml:space="preserve"> should be used to capture assessor notes during the assessment, usually the reasoning why the product is considered to fulfill (or not) the requirement.</t>
    </r>
  </si>
  <si>
    <r>
      <rPr>
        <b/>
        <sz val="11"/>
        <color theme="1"/>
        <rFont val="Calibri"/>
        <family val="2"/>
        <scheme val="minor"/>
      </rPr>
      <t>Column H (Action)</t>
    </r>
    <r>
      <rPr>
        <sz val="11"/>
        <color theme="1"/>
        <rFont val="Calibri"/>
        <family val="2"/>
        <scheme val="minor"/>
      </rPr>
      <t xml:space="preserve"> may be used to capture actions.</t>
    </r>
  </si>
  <si>
    <r>
      <rPr>
        <b/>
        <sz val="11"/>
        <color theme="1"/>
        <rFont val="Calibri"/>
        <family val="2"/>
        <scheme val="minor"/>
      </rPr>
      <t>Columns I (Assessor's rating)</t>
    </r>
    <r>
      <rPr>
        <sz val="11"/>
        <color theme="1"/>
        <rFont val="Calibri"/>
        <family val="2"/>
        <scheme val="minor"/>
      </rPr>
      <t xml:space="preserve"> are used for the compliance rating by the assessor; not applicable needs strong justification. Below list is used in the "Compliance Assessment" sheet as selection menu (Excel Data Validation and Conditional Formatting)</t>
    </r>
  </si>
  <si>
    <r>
      <t xml:space="preserve">Column J (ABB Scope) </t>
    </r>
    <r>
      <rPr>
        <sz val="11"/>
        <color theme="1"/>
        <rFont val="Calibri"/>
        <family val="2"/>
        <scheme val="minor"/>
      </rPr>
      <t>allows user to filter requirements that is mandated by ABB (i.e. requirements part of "9AKK108467A1778 Security Development Life Cycle Standard") by choosing 'M', or filtering on additional IEC 62443-4-1 requirements not in ABB scope by choosing "+IEC 62443-4-1".</t>
    </r>
  </si>
  <si>
    <r>
      <t xml:space="preserve">Column K (Assessment Interval) </t>
    </r>
    <r>
      <rPr>
        <sz val="11"/>
        <color rgb="FF000000"/>
        <rFont val="Calibri"/>
        <family val="2"/>
        <scheme val="minor"/>
      </rPr>
      <t>describes a suggestion on when to assess the requirement.
Some requirements target the development organization while other requirements primarily relate to the development of a specific product release, e.g. as organized in an R&amp;D project. All the minimum requirements need to be checked for fulfilment before any product release. The requirements related to project need to be fulfilled during the project execution. The requirements related to the development organization may however be easier to handle outside R&amp;D projects since it is the line organization that needs to fulfill them. Therefore these are suggested to be assessed periodically. A way to handle these requirements in a project is to request the line organization to demonstrate compliance as a prerequisite for the project start or G2 passage. The final assessment before the release could present the evidence from that line organization’s periodic assessment.
Please observe that this is only a suggestion. If an organization prefers to assess all SDL requirements as part of an R&amp;D project, and to demonstrate fulfilment before the product release, this is also allowed.</t>
    </r>
  </si>
  <si>
    <r>
      <t>Column L (Sequence number)</t>
    </r>
    <r>
      <rPr>
        <sz val="11"/>
        <rFont val="Calibri"/>
        <family val="2"/>
        <scheme val="minor"/>
      </rPr>
      <t xml:space="preserve"> is the incremental number of each row, which can be used to get the original order if you have resorted Excel sheet rows (normally not needed).</t>
    </r>
  </si>
  <si>
    <r>
      <rPr>
        <b/>
        <sz val="11"/>
        <rFont val="Calibri"/>
        <family val="2"/>
        <scheme val="minor"/>
      </rPr>
      <t xml:space="preserve">Columns M (MCSR 1.0 Mapping) </t>
    </r>
    <r>
      <rPr>
        <sz val="11"/>
        <rFont val="Calibri"/>
        <family val="2"/>
        <scheme val="minor"/>
      </rPr>
      <t xml:space="preserve">contains the MCSR 1.0 for Products item that is equivalent to the IEC 62443-4-1 requirement. </t>
    </r>
  </si>
  <si>
    <t>Guideline</t>
  </si>
  <si>
    <t>Below is a step by step instruction on how to perform a security assessment. Step 1-4 are typically completed by the product development project/organization before shared with the assessor but can also be completed together with assessor.</t>
  </si>
  <si>
    <t>1. Decide the scope of assessment: product release or product organization by adding data to "Assessment information" tab.</t>
  </si>
  <si>
    <t>2. Select the security level of the assessment; ABB MCSR or ABB MCSR &amp; full IEC 62443-4-1 by applying the filter of J1 cell of column M.</t>
  </si>
  <si>
    <t>3. Provide argument/evidence for fulfillment in column F and initial compliance rating in column H. Different arguments are expected depending on the assessmnet scope defined in step #1. For a product release the arguments should focus on product artifacts being created during execution of the processes. As an example this can be the documented threat model for SR-2. If the assessment scope is not an specific product but the product organization, the arguments to be provided are the defined processes covering the specific requirement and optionally also the maturity level: Defined ML-2), Practiced (ML-3, ML-4).</t>
  </si>
  <si>
    <t>4. Repeat step #2 for all requirements of the sheet.</t>
  </si>
  <si>
    <t xml:space="preserve">5. Assessor reviews argument/evidence in column and compliance rating provided by the product organization and adds assessor comments in column G. </t>
  </si>
  <si>
    <t>6. Assessor approves assessment if not any gaps are identified.</t>
  </si>
  <si>
    <t>ID</t>
  </si>
  <si>
    <t>Title</t>
  </si>
  <si>
    <t>Rating</t>
  </si>
  <si>
    <t>Source</t>
  </si>
  <si>
    <t>Req ID</t>
  </si>
  <si>
    <t>BR/RE</t>
  </si>
  <si>
    <t>System requirements</t>
  </si>
  <si>
    <t>Requirement description</t>
  </si>
  <si>
    <t>SL-C</t>
  </si>
  <si>
    <t>Comments</t>
  </si>
  <si>
    <t>Standard</t>
  </si>
  <si>
    <t>Req.1</t>
  </si>
  <si>
    <t>Req.2</t>
  </si>
  <si>
    <t>Req ID Formula</t>
  </si>
  <si>
    <t>Comment</t>
  </si>
  <si>
    <t>Ref. Status</t>
  </si>
  <si>
    <t>IEC62443-4-2</t>
  </si>
  <si>
    <t>1.01 CR</t>
  </si>
  <si>
    <t>IEC 62443-4-2</t>
  </si>
  <si>
    <t>No</t>
  </si>
  <si>
    <t>1.02 CR</t>
  </si>
  <si>
    <t>1.03 CR</t>
  </si>
  <si>
    <t>1.04 CR</t>
  </si>
  <si>
    <t>1.05 CR</t>
  </si>
  <si>
    <t>1.06 NDR</t>
  </si>
  <si>
    <t>1.07 CR</t>
  </si>
  <si>
    <t>1.08 CR</t>
  </si>
  <si>
    <t>1.09 CR</t>
  </si>
  <si>
    <t>1.10 CR</t>
  </si>
  <si>
    <t>1.11 CR</t>
  </si>
  <si>
    <t>1.12 CR</t>
  </si>
  <si>
    <t>1.13 NDR</t>
  </si>
  <si>
    <t>1.14 CR</t>
  </si>
  <si>
    <t>2.01 CR</t>
  </si>
  <si>
    <t>2.02 CR</t>
  </si>
  <si>
    <t>2.03 CR</t>
  </si>
  <si>
    <t>2.04 SAR</t>
  </si>
  <si>
    <t>2.04 EDR</t>
  </si>
  <si>
    <t>2.04 HDR</t>
  </si>
  <si>
    <t>2.04 NDR</t>
  </si>
  <si>
    <t>2.05 CR</t>
  </si>
  <si>
    <t>2.06 CR</t>
  </si>
  <si>
    <t>2.07 CR</t>
  </si>
  <si>
    <t>2.08 CR</t>
  </si>
  <si>
    <t>2.09 CR</t>
  </si>
  <si>
    <t>2.10 CR</t>
  </si>
  <si>
    <t>2.11 CR</t>
  </si>
  <si>
    <t>2.12 CR</t>
  </si>
  <si>
    <t>2.13 EDR</t>
  </si>
  <si>
    <t>2.13 HDR</t>
  </si>
  <si>
    <t>2.13 NDR</t>
  </si>
  <si>
    <t>3.01 CR</t>
  </si>
  <si>
    <t>3.02 SAR</t>
  </si>
  <si>
    <t>3.02  EDR</t>
  </si>
  <si>
    <t>3.02 HDR</t>
  </si>
  <si>
    <t>3.02 NDR</t>
  </si>
  <si>
    <t>3.03 CR</t>
  </si>
  <si>
    <t>3.04 CR</t>
  </si>
  <si>
    <t>3.05 CR</t>
  </si>
  <si>
    <t>3.06 CR</t>
  </si>
  <si>
    <t>3.07 CR</t>
  </si>
  <si>
    <t>3.08 CR</t>
  </si>
  <si>
    <t>3.09 CR</t>
  </si>
  <si>
    <t>3.10 EDR</t>
  </si>
  <si>
    <t>3.10 HDR</t>
  </si>
  <si>
    <t>3.10 NDR</t>
  </si>
  <si>
    <t>3.11 EDR</t>
  </si>
  <si>
    <t>3.11 HDR</t>
  </si>
  <si>
    <t>3.11 NDR</t>
  </si>
  <si>
    <t>3.12 EDR</t>
  </si>
  <si>
    <t>3.12 HDR</t>
  </si>
  <si>
    <t>3.12 NDR</t>
  </si>
  <si>
    <t>3.13 EDR</t>
  </si>
  <si>
    <t>3.13 HDR</t>
  </si>
  <si>
    <t>3.13 NDR</t>
  </si>
  <si>
    <t>3.14 EDR</t>
  </si>
  <si>
    <t>3.14 HDR</t>
  </si>
  <si>
    <t>3.14 NDR</t>
  </si>
  <si>
    <t>4.01 CR</t>
  </si>
  <si>
    <t>4.02 CR</t>
  </si>
  <si>
    <t>4.03 CR</t>
  </si>
  <si>
    <t>5.01 CR</t>
  </si>
  <si>
    <t>5.02 NDR</t>
  </si>
  <si>
    <t>5.03 NDR</t>
  </si>
  <si>
    <t>5.04 CR</t>
  </si>
  <si>
    <t>6.01 CR</t>
  </si>
  <si>
    <t>6.02 CR</t>
  </si>
  <si>
    <t>7.01 CR</t>
  </si>
  <si>
    <t>7.02 CR</t>
  </si>
  <si>
    <t>7.03 CR</t>
  </si>
  <si>
    <t>7.04 CR</t>
  </si>
  <si>
    <t>7.05 CR</t>
  </si>
  <si>
    <t>7.06 CR</t>
  </si>
  <si>
    <t>7.07 CR</t>
  </si>
  <si>
    <t>7.08 CR</t>
  </si>
  <si>
    <t>Reference</t>
  </si>
  <si>
    <t>MCSR1.0
Embedded</t>
  </si>
  <si>
    <t>Comments
include Acceptance Criteria for MCSR 2.0</t>
  </si>
  <si>
    <t>Requirement</t>
  </si>
  <si>
    <t>M</t>
  </si>
  <si>
    <t>Category</t>
  </si>
  <si>
    <t>Rationale</t>
  </si>
  <si>
    <t>Assessor's Comments</t>
  </si>
  <si>
    <t>Action</t>
  </si>
  <si>
    <t>Assessor's rating</t>
  </si>
  <si>
    <t>ABB Scope</t>
  </si>
  <si>
    <t>Assessment interval</t>
  </si>
  <si>
    <t>Sequence 
Number</t>
  </si>
  <si>
    <t>MCSR 1.0 Mapping</t>
  </si>
  <si>
    <t>1.a</t>
  </si>
  <si>
    <t>1</t>
  </si>
  <si>
    <t>1.b</t>
  </si>
  <si>
    <t>2</t>
  </si>
  <si>
    <t>1.c</t>
  </si>
  <si>
    <t>3</t>
  </si>
  <si>
    <t>4</t>
  </si>
  <si>
    <t>+IEC 62443-4-1</t>
  </si>
  <si>
    <t>Release</t>
  </si>
  <si>
    <t>ABB</t>
  </si>
  <si>
    <t>MP-5.1</t>
  </si>
  <si>
    <t>GAP</t>
  </si>
  <si>
    <t>3.1</t>
  </si>
  <si>
    <t>5.1</t>
  </si>
  <si>
    <t>5.2</t>
  </si>
  <si>
    <t>5.3</t>
  </si>
  <si>
    <t>5.4</t>
  </si>
  <si>
    <t>SG</t>
  </si>
  <si>
    <r>
      <rPr>
        <b/>
        <sz val="11"/>
        <color theme="1"/>
        <rFont val="Calibri"/>
        <family val="2"/>
        <scheme val="minor"/>
      </rPr>
      <t>Product defense in depth</t>
    </r>
    <r>
      <rPr>
        <sz val="11"/>
        <color theme="1"/>
        <rFont val="Calibri"/>
        <family val="2"/>
        <scheme val="minor"/>
      </rPr>
      <t xml:space="preserve">
A process shall exist to create product user documentation that describes the security defense in depth strategy for the product to support installation, operation and maintenance that includes:
a) security capabilities implemented by the product and their role in the defense in depth strategy.</t>
    </r>
  </si>
  <si>
    <t>This process is required to ensure that documentation for the defense in depth strategy is produced to support hardening of the product at the customer site. Such documentation is required by IEC 62443-2-4, that defines security requirements for IACS installation and maintenance service providers.
Having this process means that the product supplier documents various aspects of the defense in depth strategy necessary to harden the product during installation and keep it hardened during its lifetime of use. Aspects of the defense in depth strategy to be documented include the residual threats that are expected to be present and capable of
attacking the product, the security capabilities of the product to safeguard it against these threats and any compensating security controls/mitigations that can be used with the product to further protect the product.</t>
  </si>
  <si>
    <t>End-user documentation (ie technical catalogue, manual…) shall  include security capabilities of the product.</t>
  </si>
  <si>
    <t>MP-7.3, MP-9.2, MP-9.3, MP-12.1</t>
  </si>
  <si>
    <r>
      <rPr>
        <b/>
        <sz val="11"/>
        <color theme="1"/>
        <rFont val="Calibri"/>
        <family val="2"/>
        <scheme val="minor"/>
      </rPr>
      <t>Product defense in depth</t>
    </r>
    <r>
      <rPr>
        <sz val="11"/>
        <color theme="1"/>
        <rFont val="Calibri"/>
        <family val="2"/>
        <scheme val="minor"/>
      </rPr>
      <t xml:space="preserve">
A process shall exist to create product user documentation that describes the security defense in depth strategy for the product to support installation, operation and maintenance that includes:
b) threats addressed by the defense in depth strategy</t>
    </r>
  </si>
  <si>
    <t>This process is required to ensure that documentation for the defense in depth strategy is produced to support hardening of the product at the customer site. Such documentation is required by IEC 62443-2-4, that defines security requirements for IACS installation and maintenance service providers.
Having this process means that the product supplier documents various aspects of the defense in depth strategy necessary to harden the product during installation and keep it hardened during its lifetime of use. Aspects of the defense in depth strategy to be documented include the residual threats that are expected to be present and capable of
attacking the product, the security capabilities of the product to safeguard it against these threats and any compensating security controls/mitigations that can be used with the product to further protect the product.</t>
  </si>
  <si>
    <t>End-user documentation (ie technical catalogue, manual…) or in deployment guidelines document shall include threats addressed by the defence in depth strategy.</t>
  </si>
  <si>
    <t>82</t>
  </si>
  <si>
    <r>
      <rPr>
        <b/>
        <sz val="11"/>
        <color theme="1"/>
        <rFont val="Calibri"/>
        <family val="2"/>
        <scheme val="minor"/>
      </rPr>
      <t>Product defense in depth</t>
    </r>
    <r>
      <rPr>
        <sz val="11"/>
        <color theme="1"/>
        <rFont val="Calibri"/>
        <family val="2"/>
        <scheme val="minor"/>
      </rPr>
      <t xml:space="preserve">
A process shall exist to create product user documentation that describes the security defense in depth strategy for the product to support installation, operation and maintenance that includes:
c) product user mitigation strategies for known security risks associated with the product,
including risks associated with legacy code.</t>
    </r>
  </si>
  <si>
    <t xml:space="preserve">End-user documentation (ie technical catalogue, manual…) or deployment guidelines document shall include known security risks.  Mitigations to these risks shall be included as well.  If no known security risks are documented, then none were identified during threat modeling, attack surface reduction or security design reviews.  </t>
  </si>
  <si>
    <t>83</t>
  </si>
  <si>
    <t>ABB-SDLC-10</t>
  </si>
  <si>
    <r>
      <rPr>
        <b/>
        <sz val="11"/>
        <color theme="1"/>
        <rFont val="Calibri"/>
        <family val="2"/>
        <scheme val="minor"/>
      </rPr>
      <t>Legal Disclaimer</t>
    </r>
    <r>
      <rPr>
        <sz val="11"/>
        <color theme="1"/>
        <rFont val="Calibri"/>
        <family val="2"/>
        <scheme val="minor"/>
      </rPr>
      <t xml:space="preserve">
A process shall be employed to create product user documentation that includes ABB legal disclaimer regarding cyber security.</t>
    </r>
  </si>
  <si>
    <t xml:space="preserve">End-user documentation (ie technical catalogue, manual…) shall include legal disclaimers regarding cyber security as defined in 9ADB006607 </t>
  </si>
  <si>
    <t>84</t>
  </si>
  <si>
    <t>MP-7.4</t>
  </si>
  <si>
    <r>
      <rPr>
        <b/>
        <sz val="11"/>
        <color theme="1"/>
        <rFont val="Calibri"/>
        <family val="2"/>
        <scheme val="minor"/>
      </rPr>
      <t>Defense in depth measures expected in the environment</t>
    </r>
    <r>
      <rPr>
        <sz val="11"/>
        <color theme="1"/>
        <rFont val="Calibri"/>
        <family val="2"/>
        <scheme val="minor"/>
      </rPr>
      <t xml:space="preserve">
A process shall be employed to create product user documentation that describes the security defense in depth measures expected to be provided by the external environment in which the product is to be used (see Clause 6).
</t>
    </r>
    <r>
      <rPr>
        <sz val="10"/>
        <color theme="1"/>
        <rFont val="Calibri"/>
        <family val="2"/>
        <scheme val="minor"/>
      </rPr>
      <t>NOTE These measures can also come from 10.5.</t>
    </r>
  </si>
  <si>
    <t>This process is required to ensure that documentation for the defense in depth strategy is produced to support hardening of the product at the customer site. Such documentation is required by IEC 62443-2-4, that defines security requirements for IACS installation and maintenance service providers.
Having this process means that the product supplier  ocuments various aspects of the defense in depth strategy necessary to harden the product during installation and keep it
hardened during its lifetime of use.</t>
  </si>
  <si>
    <t>End-user documentation (manual, catalogue…) must describe environmental requirements that must be satisfied by the user</t>
  </si>
  <si>
    <t>85</t>
  </si>
  <si>
    <t>MP-7.3, MP-12.1</t>
  </si>
  <si>
    <t>3.a</t>
  </si>
  <si>
    <r>
      <rPr>
        <b/>
        <sz val="11"/>
        <color theme="1"/>
        <rFont val="Calibri"/>
        <family val="2"/>
        <scheme val="minor"/>
      </rPr>
      <t>Security hardening guidelines</t>
    </r>
    <r>
      <rPr>
        <sz val="11"/>
        <color theme="1"/>
        <rFont val="Calibri"/>
        <family val="2"/>
        <scheme val="minor"/>
      </rPr>
      <t xml:space="preserve">
A process shall be employed to create product user documentation that includes guidelines for hardening the product when installing and maintaining the product. The guidelines shall include, but are not limited to, instructions, rationale and recommendations for the following:
a) integration of the product, including third-party components, with its product security context (see Clause 6)</t>
    </r>
  </si>
  <si>
    <t>This process is required to ensure that instructions that describe how to harden the product and keep it hardened are documented. Such documentation is required by IEC 62443-2-4 that defines security requirements for IACS installation and maintenance service providers.
Having this process means that the product supplier creates user documentation that provides directions for hardening the product during installation and for keeping it hardened during the lifetime of the product use. This requirement recognizes that the security policies and requirements for customer sites are often different, and as a result, instructions for securely integrating the product into the customer site, configuring it appropriately and maintaining its security are necessary.</t>
  </si>
  <si>
    <t>End-user documentation (manual, catalogue…) must describe hardening guidelines, instructions and recommendations. that should be adhered to when installing the product or system</t>
  </si>
  <si>
    <t>86</t>
  </si>
  <si>
    <t>MP-4.4, MP-7.2, MP-15.3</t>
  </si>
  <si>
    <t>3.b</t>
  </si>
  <si>
    <r>
      <rPr>
        <b/>
        <sz val="11"/>
        <color theme="1"/>
        <rFont val="Calibri"/>
        <family val="2"/>
        <scheme val="minor"/>
      </rPr>
      <t>Security hardening guidelines</t>
    </r>
    <r>
      <rPr>
        <sz val="11"/>
        <color theme="1"/>
        <rFont val="Calibri"/>
        <family val="2"/>
        <scheme val="minor"/>
      </rPr>
      <t xml:space="preserve">
A process shall be employed to create product user documentation that includes guidelines for hardening the product when installing and maintaining the product. The guidelines shall include, but are not limited to, instructions, rationale and recommendations for the following:
b) integration of the product’s application programming interfaces/protocols with user applications;</t>
    </r>
  </si>
  <si>
    <t xml:space="preserve">If the product contains an API or a set of classes or objects that developers can use, then instructions, rationale, and recommendations for integrating user applications securely with the API shall be provided in the end-user documentation. </t>
  </si>
  <si>
    <t>87</t>
  </si>
  <si>
    <t>MP-4.4, MP-7.2, MP-15.4</t>
  </si>
  <si>
    <t>3.c</t>
  </si>
  <si>
    <r>
      <rPr>
        <b/>
        <sz val="11"/>
        <color theme="1"/>
        <rFont val="Calibri"/>
        <family val="2"/>
        <scheme val="minor"/>
      </rPr>
      <t>Security hardening guidelines</t>
    </r>
    <r>
      <rPr>
        <sz val="11"/>
        <color theme="1"/>
        <rFont val="Calibri"/>
        <family val="2"/>
        <scheme val="minor"/>
      </rPr>
      <t xml:space="preserve">
A process shall be employed to create product user documentation that includes guidelines for hardening the product when installing and maintaining the product. The guidelines shall include, but are not limited to, instructions, rationale and recommendations for the following:
c) applying and maintaining the product’s defense in depth strategy (see Clause 7);</t>
    </r>
  </si>
  <si>
    <t>End-user documentation (manual, catalogue…) must describe the user responsibility for operating and maintaining the defence in depth strategy defined for the product or system</t>
  </si>
  <si>
    <t>88</t>
  </si>
  <si>
    <t>MP-4.4, MP-7.2, MP-15.5</t>
  </si>
  <si>
    <t>3.d</t>
  </si>
  <si>
    <r>
      <rPr>
        <b/>
        <sz val="11"/>
        <color theme="1"/>
        <rFont val="Calibri"/>
        <family val="2"/>
        <scheme val="minor"/>
      </rPr>
      <t>Security hardening guidelines</t>
    </r>
    <r>
      <rPr>
        <sz val="11"/>
        <color theme="1"/>
        <rFont val="Calibri"/>
        <family val="2"/>
        <scheme val="minor"/>
      </rPr>
      <t xml:space="preserve">
A process shall be employed to create product user documentation that includes guidelines for hardening the product when installing and maintaining the product. The guidelines shall include, but are not limited to, instructions, rationale and recommendations for the following:
d) configuration and use of security options/capabilities in support of local security policies, and for each security option/capability:
1) its contribution to the product’s defense in depth strategy (see Clause 7);
2) descriptions of configurable and default values that include how each affects security along with any potential impact each has on work practices; and
3) setting/changing/deleting its value;</t>
    </r>
  </si>
  <si>
    <t xml:space="preserve">End-user documentation (manual, catalogue…) must describe all security configuration options including default and recommended settings. </t>
  </si>
  <si>
    <t>89</t>
  </si>
  <si>
    <t>MP-4.4, MP-7.2, MP-15.6</t>
  </si>
  <si>
    <t>3.e</t>
  </si>
  <si>
    <r>
      <rPr>
        <b/>
        <sz val="11"/>
        <color theme="1"/>
        <rFont val="Calibri"/>
        <family val="2"/>
        <scheme val="minor"/>
      </rPr>
      <t>Security hardening guidelines</t>
    </r>
    <r>
      <rPr>
        <sz val="11"/>
        <color theme="1"/>
        <rFont val="Calibri"/>
        <family val="2"/>
        <scheme val="minor"/>
      </rPr>
      <t xml:space="preserve">
A process shall be employed to create product user documentation that includes guidelines for hardening the product when installing and maintaining the product. The guidelines shall include, but are not limited to, instructions, rationale and recommendations for the following:
e) instructions and recommendations for the use of all security-related tools and utilities that support administration, monitoring, incident handling and evaluation of the security of the product.</t>
    </r>
  </si>
  <si>
    <t>If such tools exist  their usage shall be described in the end-user documentation (manual, catalogue…).  If the tools themselves are not secure, the end-user documentation shall indicate that these tools should be removed from the system prior to completing the integration.</t>
  </si>
  <si>
    <t>90</t>
  </si>
  <si>
    <t>MP-4.4, MP-7.2, MP-15.7</t>
  </si>
  <si>
    <t>3.f</t>
  </si>
  <si>
    <r>
      <rPr>
        <b/>
        <sz val="11"/>
        <color theme="1"/>
        <rFont val="Calibri"/>
        <family val="2"/>
        <scheme val="minor"/>
      </rPr>
      <t>Security hardening guidelines</t>
    </r>
    <r>
      <rPr>
        <sz val="11"/>
        <color theme="1"/>
        <rFont val="Calibri"/>
        <family val="2"/>
        <scheme val="minor"/>
      </rPr>
      <t xml:space="preserve">
A process shall be employed to create product user documentation that includes guidelines for hardening the product when installing and maintaining the product. The guidelines shall include, but are not limited to, instructions, rationale and recommendations for the following:
f) instructions and recommendations for periodic security maintenance activities.</t>
    </r>
  </si>
  <si>
    <t>End-user documentation (manual, catalogue…) must include instructions and recommendations for periodic security maintenance activities to be done on the product.</t>
  </si>
  <si>
    <t>91</t>
  </si>
  <si>
    <t>MP-4.4, MP-7.2, MP-15.8</t>
  </si>
  <si>
    <t>3.g</t>
  </si>
  <si>
    <r>
      <rPr>
        <b/>
        <sz val="11"/>
        <color theme="1"/>
        <rFont val="Calibri"/>
        <family val="2"/>
        <scheme val="minor"/>
      </rPr>
      <t>Security hardening guidelines</t>
    </r>
    <r>
      <rPr>
        <sz val="11"/>
        <color theme="1"/>
        <rFont val="Calibri"/>
        <family val="2"/>
        <scheme val="minor"/>
      </rPr>
      <t xml:space="preserve">
A process shall be employed to create product user documentation that includes guidelines for hardening the product when installing and maintaining the product. The guidelines shall include, but are not limited to, instructions, rationale and recommendations for the following:
g) instructions for reporting security incidents for the product to the product supplier.</t>
    </r>
  </si>
  <si>
    <t>End-user documentation (manual, catalogue…) must contain procedures for reporting security vulnerabilities back to the product manufacturer.</t>
  </si>
  <si>
    <t>92</t>
  </si>
  <si>
    <t>MP-4.4, MP-7.2, MP-15.9</t>
  </si>
  <si>
    <t>3.h</t>
  </si>
  <si>
    <r>
      <rPr>
        <b/>
        <sz val="11"/>
        <color theme="1"/>
        <rFont val="Calibri"/>
        <family val="2"/>
        <scheme val="minor"/>
      </rPr>
      <t>Security hardening guidelines</t>
    </r>
    <r>
      <rPr>
        <sz val="11"/>
        <color theme="1"/>
        <rFont val="Calibri"/>
        <family val="2"/>
        <scheme val="minor"/>
      </rPr>
      <t xml:space="preserve">
A process shall be employed to create product user documentation that includes guidelines for hardening the product when installing and maintaining the product. The guidelines shall include, but are not limited to, instructions, rationale and recommendations for the following:
h) description of the security best practices for maintenance and administration of the product.</t>
    </r>
  </si>
  <si>
    <t>End-user documentation (manual, catalogue…) must  describe how to administer the product in a secure manner (unless the product does not have administrative capability)</t>
  </si>
  <si>
    <t>93</t>
  </si>
  <si>
    <r>
      <rPr>
        <b/>
        <sz val="11"/>
        <color theme="1"/>
        <rFont val="Calibri"/>
        <family val="2"/>
        <scheme val="minor"/>
      </rPr>
      <t>Secure disposal guidelines</t>
    </r>
    <r>
      <rPr>
        <sz val="11"/>
        <color theme="1"/>
        <rFont val="Calibri"/>
        <family val="2"/>
        <scheme val="minor"/>
      </rPr>
      <t xml:space="preserve">
A process shall be employed to create product user documentation that includes guidelines for removing the product from use. The guidelines shall include, but is not limited to, instructions and recommendations for the following:
a) removing the product from its intended environment (see Clause 6);
b) including recommendations for removing references and configuration data stored within the environment;
c) secure removal of data stored in the product; and
d) secure disposal of the product to prevent potential disclosure of data contained in the product that could not be removed as described in c) above.</t>
    </r>
  </si>
  <si>
    <t>This process is required to ensure that instructions that describe how to securely take the product out of use (decommission it) are documented. Such documentation is required by IEC 62443-2-4, that defines security requirements for IACS installation and maintenance service providers.
Having this process means that the product supplier creates user documentation that provides directions for sanitizing the product of sensitive, confidential and/or proprietary data and software.</t>
  </si>
  <si>
    <t>End-user documentation (manual, catalogue…) must include disposals about how to remove securely the product from use addressing the following issues:
a) removing the product from its intended environment (note, depending on the product, this may not have any security implications)
b) including recommendations for removing references and configuration data stored within the environment, (this may or may not apply)
c) secure removal of data stored in the product, (this usually involves destroying or erasing hard disks)
d) secure disposal of the product to prevent potential disclosure of data contained in the product that could not be removed as described in c) above</t>
  </si>
  <si>
    <t>94</t>
  </si>
  <si>
    <r>
      <rPr>
        <b/>
        <sz val="11"/>
        <color theme="1"/>
        <rFont val="Calibri"/>
        <family val="2"/>
        <scheme val="minor"/>
      </rPr>
      <t>Secure operation guidelines</t>
    </r>
    <r>
      <rPr>
        <sz val="11"/>
        <color theme="1"/>
        <rFont val="Calibri"/>
        <family val="2"/>
        <scheme val="minor"/>
      </rPr>
      <t xml:space="preserve">
A process shall be employed to create product user documentation that describes:
a) responsibilities and actions necessary for users, including administrators, to securely operate the product; and
b) assumptions regarding the behaviour of the user/administrator and their relationship to the secure operation of the product.</t>
    </r>
  </si>
  <si>
    <t>This process is required to ensure that instructions that describe the secure use of the product during its operation and administration are included in the security guidelines.
Having this process means that the product supplier creates user/administrator documentation that provides instructions for using the product securely. In general, this represents a set of best practices for the secure use of the product. For example, this could include guidelines for certificate management, password management and other authentication mechanisms.</t>
  </si>
  <si>
    <t>End-user documentation (manual, catalogue…) must include assumptions regarding the behavior of the user/administrator.  This means that it should describe the best practices or recommend behavior of users and administrators while operating the product.</t>
  </si>
  <si>
    <t>95</t>
  </si>
  <si>
    <t>MP-7.3, MP-7.5, MP-12.1</t>
  </si>
  <si>
    <t>96</t>
  </si>
  <si>
    <r>
      <rPr>
        <b/>
        <sz val="11"/>
        <color theme="1"/>
        <rFont val="Calibri"/>
        <family val="2"/>
        <scheme val="minor"/>
      </rPr>
      <t>Account management guidelines</t>
    </r>
    <r>
      <rPr>
        <sz val="11"/>
        <color theme="1"/>
        <rFont val="Calibri"/>
        <family val="2"/>
        <scheme val="minor"/>
      </rPr>
      <t xml:space="preserve">
A process shall be employed to create product user documentation that defines user account requirements and recommendations associated with the use of the product that includes, but is not limited to:
a) user account permissions (access control) and privileges (user rights) needed to use the product, including, but not limited to operating system accounts, control system accounts and data base accounts;
and
b) default accounts used by the product (for example, service accounts) and instructions for changing default account names and passwords.</t>
    </r>
  </si>
  <si>
    <t>This process is required to ensure that requirements for the user accounts necessary to use the product are defined and documented.
Having this process means that the product supplier creates documentation that defines accounts and their settings, including default accounts, that are needed to use the product.</t>
  </si>
  <si>
    <t>End-user documentation (manual, catalogue…) must include account management guidelines. More specifically must include information about user account permissions and privileges required to use the product as well as default accounts used by the product and instructions for changing usernames and passwords on these accounts.
ABB products shall not have any accounts (individual, shared, debug, etc.) that are not documented (note: does not necessarily require to disclose access credentials).</t>
  </si>
  <si>
    <t>MP-2.2, MP-7.1, MP-7.3, MP-12.1</t>
  </si>
  <si>
    <t>7.a</t>
  </si>
  <si>
    <r>
      <rPr>
        <b/>
        <sz val="11"/>
        <color theme="1"/>
        <rFont val="Calibri"/>
        <family val="2"/>
        <scheme val="minor"/>
      </rPr>
      <t>Documentation review</t>
    </r>
    <r>
      <rPr>
        <sz val="11"/>
        <color theme="1"/>
        <rFont val="Calibri"/>
        <family val="2"/>
        <scheme val="minor"/>
      </rPr>
      <t xml:space="preserve">
A process shall be employed to identify, characterize and track to closure errors and omissions in all user manuals including the security guidelines to include:
a) coverage of the product’s security capabilities.</t>
    </r>
  </si>
  <si>
    <t>This process is required to ensure that the security-related documentation for the product is accurate and complete and that non-secure practices are not documented in other user documentation.
Having this process means that the product's security-related documentation is reviewed to determine whether any product security capabilities have not been correctly or adequately addressed, and whether the documentation adequately describes how the product's defense in depth strategy is to be integrated with the product security context; and if discrepancies are found, that a process exists for addressing them.</t>
  </si>
  <si>
    <t>Verify that there is evidence that the security guidelines were reviewed (such as meeting minutes or a review signoff).  Verify that the review confirmed  that all security capabilities are described in the security guidelines.  This can be verified by a completed checklist, a comment in the meeting minutes or something similar.</t>
  </si>
  <si>
    <t>98</t>
  </si>
  <si>
    <t>7.b</t>
  </si>
  <si>
    <r>
      <rPr>
        <b/>
        <sz val="11"/>
        <color theme="1"/>
        <rFont val="Calibri"/>
        <family val="2"/>
        <scheme val="minor"/>
      </rPr>
      <t>Documentation review</t>
    </r>
    <r>
      <rPr>
        <sz val="11"/>
        <color theme="1"/>
        <rFont val="Calibri"/>
        <family val="2"/>
        <scheme val="minor"/>
      </rPr>
      <t xml:space="preserve">
A process shall be employed to identify, characterize and track to closure errors and omissions in all user manuals including the security guidelines to include:
b) integration of the product with its intended environment (see Clause 6).</t>
    </r>
  </si>
  <si>
    <t>Verify that issues found during the user manual reviews are documented and tracked to closure.  This can all be documented in the meeting minutes, through an issue tracking system, or thorough a similar method.</t>
  </si>
  <si>
    <t>99</t>
  </si>
  <si>
    <t>7.c</t>
  </si>
  <si>
    <r>
      <rPr>
        <b/>
        <sz val="11"/>
        <color theme="1"/>
        <rFont val="Calibri"/>
        <family val="2"/>
        <scheme val="minor"/>
      </rPr>
      <t>Documentation review</t>
    </r>
    <r>
      <rPr>
        <sz val="11"/>
        <color theme="1"/>
        <rFont val="Calibri"/>
        <family val="2"/>
        <scheme val="minor"/>
      </rPr>
      <t xml:space="preserve">
A process shall be employed to identify, characterize and track to closure errors and omissions in all user manuals including the security guidelines to include:
c) assurance that all documented practices are secure.</t>
    </r>
  </si>
  <si>
    <t>Verify that all user manuals were reviewed by security experts by reviewing meeting minutes and verifying that someone qualified as a security expert (Based on experience, education, or personal certification) was involved in reviewing each of the user manuals.</t>
  </si>
  <si>
    <t>100</t>
  </si>
  <si>
    <t>Supported</t>
  </si>
  <si>
    <t>FR SL level</t>
  </si>
  <si>
    <t>Supported with some restrictions/partly needs clarifications</t>
  </si>
  <si>
    <t>Rating:</t>
  </si>
  <si>
    <t>Not supported</t>
  </si>
  <si>
    <t>n/a</t>
  </si>
  <si>
    <t>not applicable (needs strong justification!)</t>
  </si>
  <si>
    <t>MCSR 1.0
Host</t>
  </si>
  <si>
    <t>MCSR 1.0
Mobile</t>
  </si>
  <si>
    <t>MCSR 1.0
Application</t>
  </si>
  <si>
    <t>MCSR 1.0
Network</t>
  </si>
  <si>
    <t>Needed in MCSR2.0 Baseline</t>
  </si>
  <si>
    <t>Pre-selection reviewed</t>
  </si>
  <si>
    <t>MCSR-IfS1.0
Products</t>
  </si>
  <si>
    <t>Yes</t>
  </si>
  <si>
    <t>Identify and authenticate all users (humans, software  processes, and devices) before allowing them access to the control system</t>
  </si>
  <si>
    <r>
      <rPr>
        <b/>
        <sz val="11"/>
        <color theme="1"/>
        <rFont val="Calibri"/>
        <family val="2"/>
        <scheme val="minor"/>
      </rPr>
      <t>Comments and Rating:</t>
    </r>
    <r>
      <rPr>
        <sz val="11"/>
        <color theme="1"/>
        <rFont val="Calibri"/>
        <family val="2"/>
        <scheme val="minor"/>
      </rPr>
      <t xml:space="preserve">
(Specify the function in the product/system that fulfills the requirement)
Please Include the Doc. Reference (document number, revision, chapter), comments or reason for deviation. </t>
    </r>
  </si>
  <si>
    <t>CR</t>
  </si>
  <si>
    <t>1.1</t>
  </si>
  <si>
    <t>Human user identification and authentication</t>
  </si>
  <si>
    <t>Comments:</t>
  </si>
  <si>
    <t>Components shall provide the capability to identify and authenticate all human users according to ISA‑62443‑3‑3 SR 1.1 on all interfaces capable of human user access. This capability shall enforce such identification and authentication on all interfaces that provide human user access to the component to support segregation of duties and least privilege in accordance with applicable security policies and procedures. This capability may be provided locally by the component or by integration into a system level identification and authentication system.
Note: Applicable security policies are a local matter.</t>
  </si>
  <si>
    <t>MIFP-RE.3</t>
  </si>
  <si>
    <t xml:space="preserve">Rating: </t>
  </si>
  <si>
    <t>CR RE</t>
  </si>
  <si>
    <t>1.1.1</t>
  </si>
  <si>
    <t>Unique identification and authentication</t>
  </si>
  <si>
    <t>Components shall provide the capability to uniquely identify and authenticate all human users</t>
  </si>
  <si>
    <t>1.1.2</t>
  </si>
  <si>
    <t>Multifactor authentication for all interfaces</t>
  </si>
  <si>
    <t>Components shall provide the capability to employ multifactor authentication for all human user access to the component.</t>
  </si>
  <si>
    <t>1.2</t>
  </si>
  <si>
    <t>Software process and device identification and authentication</t>
  </si>
  <si>
    <t>The component shall provide the capability to identify itself and authenticate to any other component (software application, embedded devices, host devices and network devices), according to ISA‑62443‑3‑3 SR1.2
If the component is running in the context of a human user, in addition, the identification and authentication of the human user according to ISA‑62443‑3‑3 SR1.1 may be part of the component identification and authentication process towards the other components.</t>
  </si>
  <si>
    <t>MIFP-RE.1
MIFP-RE.3</t>
  </si>
  <si>
    <t>1.2.1</t>
  </si>
  <si>
    <t>The component shall provide the capability to uniquely identify and authenticate itself to any other component.</t>
  </si>
  <si>
    <t>1.3</t>
  </si>
  <si>
    <t>Account management</t>
  </si>
  <si>
    <t xml:space="preserve">Components shall provide the capability to support the management of all accounts directly or integrated into a system according to ISA‑62443‑3‑3 SR 1.3
</t>
  </si>
  <si>
    <r>
      <t xml:space="preserve">MCSR has a "not" requirement. Improvement would be to write it positive like in 62443: Products should have Account- and Authenticator Management, adding accounts is not an MCSR.
</t>
    </r>
    <r>
      <rPr>
        <i/>
        <sz val="11"/>
        <color theme="1"/>
        <rFont val="Calibri"/>
        <family val="2"/>
        <scheme val="minor"/>
      </rPr>
      <t>Note: -3-3 requirement is "The control system shall provide the capability to support the management of all accounts by authorized users, including adding, activating, modifying, disabling and removing accounts."</t>
    </r>
    <r>
      <rPr>
        <sz val="11"/>
        <color theme="1"/>
        <rFont val="Calibri"/>
        <family val="2"/>
        <scheme val="minor"/>
      </rPr>
      <t xml:space="preserve">
ABB Acceptance: 
FAQ: all accounts: also includes debug/maintenance accounts.
FAQ: all accounts: also includes single admin account with changeable password.
FAQ: if there is no account, then there is nothing to manage</t>
    </r>
  </si>
  <si>
    <t>MP-02.1
MP-02.2</t>
  </si>
  <si>
    <t>MP-2.1
MP-2.2</t>
  </si>
  <si>
    <t>1.4</t>
  </si>
  <si>
    <t>Identifier management</t>
  </si>
  <si>
    <t>The component shall provide the capability to integrate into a system that supports the management of identifiers and/or provide the capability to support the management of identifiers directly according to ISA‑62443‑3‑3  SR 1.4</t>
  </si>
  <si>
    <t>MIFP-RE.1</t>
  </si>
  <si>
    <t>1.5</t>
  </si>
  <si>
    <t>Authenticator management</t>
  </si>
  <si>
    <t xml:space="preserve">Comments:
</t>
  </si>
  <si>
    <t>1.5a</t>
  </si>
  <si>
    <t xml:space="preserve">Components shall provide the capability to:
a) support the use of initial authenticator content;
</t>
  </si>
  <si>
    <t>This seems to be equivalent to our requirement that all passwords, keys, etc. (authenticators) shall be changeable.</t>
  </si>
  <si>
    <t>Ok, as 4-1 SG-6
MP-2.1
MP-2.2</t>
  </si>
  <si>
    <t>1.5b</t>
  </si>
  <si>
    <t xml:space="preserve">Components shall provide the capability to:
b) support the recognition of changes to default authenticators made at installation time;
</t>
  </si>
  <si>
    <t>To be discussed - currently this is not in MCSR 1.0 but we feel this should be an extension in the next round (either already in MCSR 2.0 or in the subsequent update).
This does map to rows in the longer assessment sheet with requirements to consider, MP-11.1.</t>
  </si>
  <si>
    <t>An example would be helpful for the understanding</t>
  </si>
  <si>
    <t>TBD</t>
  </si>
  <si>
    <t xml:space="preserve">MIFP-RE.10 </t>
  </si>
  <si>
    <t>1.5c</t>
  </si>
  <si>
    <t xml:space="preserve">Components shall provide the capability to:
c) function properly with periodic authenticator change/refresh operation; and
</t>
  </si>
  <si>
    <t>This does map to rows in the longer assessment sheet with requirements to consider, MP-11.1.</t>
  </si>
  <si>
    <t>1.5d</t>
  </si>
  <si>
    <t>Components shall provide the capability to:
d) protect authenticators from unauthorized disclosure and modification when stored, used and transmitted.</t>
  </si>
  <si>
    <t>MP-03.1 is typically interpreted that password storage and transmission shall be protected.</t>
  </si>
  <si>
    <t>MP-03.1</t>
  </si>
  <si>
    <t>MIFP-RE.4
MIFP-RE.5</t>
  </si>
  <si>
    <t>1.5.1</t>
  </si>
  <si>
    <t>Hardware security for authenticators</t>
  </si>
  <si>
    <t>The authenticators on which the component rely shall be protected via hardware mechanisms.
Note: Examples of hardware authentication include: Password protected memory, OTP memory, hardware data integrity checks, and device security boot mechanism.</t>
  </si>
  <si>
    <t>To be continued</t>
  </si>
  <si>
    <t>NDR</t>
  </si>
  <si>
    <t>1.6</t>
  </si>
  <si>
    <t>Wireless access management</t>
  </si>
  <si>
    <t>A network device supporting wireless access management shall provide the capability to identify and authenticate all users (humans, software processes or devices) engaged in wireless communication.</t>
  </si>
  <si>
    <t>MCSR MP-15 is focusing on application layer protocols, while wireless protocols typically act on lower layers (e.g. 802.11 on layer 2 and 1).</t>
  </si>
  <si>
    <t>NDR RE</t>
  </si>
  <si>
    <t>1.6.1</t>
  </si>
  <si>
    <t>The network device shall provide the capability to uniquely identify and authenticate all users (humans, software processes or devices) engaged in wireless communication.</t>
  </si>
  <si>
    <t>1.7</t>
  </si>
  <si>
    <t>Strength of password-based authentication</t>
  </si>
  <si>
    <t>For components that utilize password-based authentication, those component shall provide or integrate into a system that provides the capability to enforce configurable password strength based on internationally recognized and proven password guidelines.</t>
  </si>
  <si>
    <t>1.7.1</t>
  </si>
  <si>
    <t>Password generation and lifetime restrictions for human users</t>
  </si>
  <si>
    <t>Components shall provide, or integrate into a system that provides, the capability to protect against any given human user account from reusing a password for a configurable number of generations. In addition, the component shall provide the capability to enforce password minimum and maximum lifetime restrictions for human users. These capabilities shall conform to commonly accepted security industry practices. The component should provide the capability to prompt the user to change their password upon a configurable time prior to expiration.</t>
  </si>
  <si>
    <t>1.7.2</t>
  </si>
  <si>
    <t>Password lifetime restrictions for all users (human, software process, or device)</t>
  </si>
  <si>
    <t>Components shall provide, or integrate into a system that provides, the capability to enforce password minimum and maximum lifetime restrictions for all users.</t>
  </si>
  <si>
    <t>1.8</t>
  </si>
  <si>
    <t>Public key infrastructure certificates</t>
  </si>
  <si>
    <t>When public key infrastructure (PKI) is utilized, the component shall provide or integrate into a system that provides the capability to interact and operate in accordance with ISA‑62443‑3‑3  SR1.8</t>
  </si>
  <si>
    <t>1.9</t>
  </si>
  <si>
    <t>Strength of public key authentication</t>
  </si>
  <si>
    <t>For components that utilize public key authentication, those components shall provide directly or integrate into a system that provides the capability within the same IACS environment to:
a) validate certificates by checking the validity of the signature of a given certificate;
b) validate the certificate chain or, in the case of self-signed certificates, by deploying leaf certificates to all hosts that communicate with the subject to which the certificate is issued;
c) validate certificates by checking a given certificate’s revocation status;
d) establish user (human, software process or device) control of the corresponding private key; 
e) map the authenticated identity to a user (human, software process or device); and
f) ensure that the algorithms and keys used for the symmetric key authentication comply with 8.5 CR 4.3 – Use of cryptography.</t>
  </si>
  <si>
    <t>1.9.1</t>
  </si>
  <si>
    <t>Hardware security for public key authentication</t>
  </si>
  <si>
    <t>Hardware security for public key authentication
Components shall provide the capability to protect critical, long-lived private keys via hardware mechanisms.</t>
  </si>
  <si>
    <t>1.10</t>
  </si>
  <si>
    <t>Authenticator feedback</t>
  </si>
  <si>
    <t>When a component provides an authentication capability, the component shall provide the capability to obscure feedback of authentication information during the authentication process.</t>
  </si>
  <si>
    <t>1.11</t>
  </si>
  <si>
    <t>Unsuccessful login attempts</t>
  </si>
  <si>
    <t>When a component provides an authentication capability, the component shall provide the capability to:
a) enforce a limit of a configurable number of consecutive invalid access attempts by any user (human, software process or device) during a configurable time period; and
b) deny access for a specified period of time or until unlocked by an administrator when this limit has been reached. An administrator may unlock an account prior to the expiration of the timeout period.</t>
  </si>
  <si>
    <t>1.12</t>
  </si>
  <si>
    <t>System use notification</t>
  </si>
  <si>
    <t>When a component provides local human user access/HMI, it shall provide the capability to display a system use notification message before authenticating. The system use notification message shall be configurable by authorized personnel.</t>
  </si>
  <si>
    <t>1.13</t>
  </si>
  <si>
    <t>Access via untrusted networks</t>
  </si>
  <si>
    <t>The network device supporting device access into a network shall provide the capability to monitor and control all methods of access to the network device via untrusted networks.</t>
  </si>
  <si>
    <t>1.13.1</t>
  </si>
  <si>
    <t>Explicity access request approval</t>
  </si>
  <si>
    <t>The network device shall provide the capability to deny access requests via untrusted networks unless explicitly approved by an assigned role.</t>
  </si>
  <si>
    <t>1.14</t>
  </si>
  <si>
    <t>Strength of symmetric key authentication</t>
  </si>
  <si>
    <t>For components that utilize symmetric keys, the component shall provide the capability to:
a) establish the mutual trust using the symmetric key;
b) store securely the shared secret (the authentication is valid as long as the shared secret remains secret);
c) restrict access to the shared secret; and
d) ensure that the algorithms and keys used for the symmetric key authentication comply with CR 4.3 – Use of cryptography.</t>
  </si>
  <si>
    <t>1.14.1</t>
  </si>
  <si>
    <t>Hardware security for symmetric key-based authentication</t>
  </si>
  <si>
    <t>Components shall provide the capability to protect critical, long lived symmetric keys via hardware mechanisms.</t>
  </si>
  <si>
    <t>Needed in MCSR2.0</t>
  </si>
  <si>
    <t>FR 2 - Use Control (UC)</t>
  </si>
  <si>
    <t>Enforce the assigned privileges of an authenticated user (human, software process or device) to perform the requested action on the IACS and monitor the use of these privileges.</t>
  </si>
  <si>
    <t>2.1</t>
  </si>
  <si>
    <t>Authorization enforcement</t>
  </si>
  <si>
    <t xml:space="preserve">Comments: </t>
  </si>
  <si>
    <t>The component shall provide an authorization enforcement mechanism for all identified and authenticated human users based on their assigned responsibilities.</t>
  </si>
  <si>
    <t>2.1.1</t>
  </si>
  <si>
    <t>Authorization enforcement for all users (humans, software processes and devices)</t>
  </si>
  <si>
    <t>Components shall provide an authorization enforcement mechanism for all users based on their assigned responsibilities and least privilege.</t>
  </si>
  <si>
    <t>2.1.2</t>
  </si>
  <si>
    <t>Permission mapping to roles</t>
  </si>
  <si>
    <t>Components shall, directly or through a compensating security mechanism, provide for an
authorized role to define and modify the mapping of permissions to roles for all human users.
Roles should not be limited to fixed nested hierarchies in which a higher-level role is a
super set of a lesser privileged role. For example, a system administrator should not necessarily encompass operator privileges.
NOTE 1 This RE is applicable to software processes and devices as well.</t>
  </si>
  <si>
    <t>2.1.3</t>
  </si>
  <si>
    <t>Supervisor override</t>
  </si>
  <si>
    <t>Components shall support a supervisor manual override for a configurable time or sequence of events.
NOTE 2 Implementation of a controlled, audited and manual override of automated mechanisms in the event of emergencies or other serious events is often needed. This allows a supervisor to enable an operator to quickly react to unusual conditions without closing the current session and establishing a new session as a higher privilege human user.</t>
  </si>
  <si>
    <t>2.1.4</t>
  </si>
  <si>
    <t>Dual approval</t>
  </si>
  <si>
    <t>Components shall support dual approval when action can result in serious impact on the
industrial process.
Dual approval should be limited to actions which require a very high level of confidence that they will be performed reliably and correctly. Requiring dual approval provides emphasis to the seriousness of consequences that would result from failure of a correct action. An example of a situation in which dual approval is required would be a change to a set point of a critical industrial process. Dual approval mechanisms should not be
employed when an immediate response is necessary to safeguard HSE consequences, for
example, emergency shutdown of an industrial process.</t>
  </si>
  <si>
    <t>2.2</t>
  </si>
  <si>
    <t xml:space="preserve">Wireless use control </t>
  </si>
  <si>
    <t>If a component supports usage through wireless interfaces it shall provide the capability to authorize, monitor and enforce usage restrictions according to commonly accepted industry practices.</t>
  </si>
  <si>
    <t>2.3</t>
  </si>
  <si>
    <t>Use control for portable and mobile devices</t>
  </si>
  <si>
    <t xml:space="preserve">There is no component level requirement associated with ISA‑62443‑3‑3 SR 2.3. </t>
  </si>
  <si>
    <t>Rating: NOT APPLICABLE</t>
  </si>
  <si>
    <t>SAR</t>
  </si>
  <si>
    <t>2.4</t>
  </si>
  <si>
    <t>Mobile code</t>
  </si>
  <si>
    <t>In the event that a software application utilizes mobile code technologies, that application shall provide the capability to enforce a security policy for the usage of mobile code technologies.  The security policy shall allow, at a minimum, the following actions for each mobile code technology used on the software application:
a) Control execution of mobile code;
b) Control which users (human, software process, or device) are allowed to transfer mobile code to/from the application;
c) Control the execution of mobile code based on the results of an integrity check prior to the code being executed.</t>
  </si>
  <si>
    <t>SAR RE</t>
  </si>
  <si>
    <t>2.4.1</t>
  </si>
  <si>
    <t>Mobile code authenticity check</t>
  </si>
  <si>
    <t>The application shall provide the capability to enforce a security policy that allows the device to control execution of mobile code based on the results of an authenticity check prior to the code being executed.</t>
  </si>
  <si>
    <t>EDR</t>
  </si>
  <si>
    <t>2.4a</t>
  </si>
  <si>
    <t>In the event that an embedded device utilizes mobile code technologies, the embedded device shall provide the capability to enforce a security policy for the usage of mobile code technologies.  The security policy shall allow, at a minimum, the following actions for each mobile code technology used on the embedded device:
a) Control execution of mobile code;</t>
  </si>
  <si>
    <r>
      <t xml:space="preserve">MCSR MP-5.1 is concentrating on Windows Malware scanning. This EDR 2.4 is more appropriate for Embedded devices.
</t>
    </r>
    <r>
      <rPr>
        <i/>
        <sz val="11"/>
        <color theme="1"/>
        <rFont val="Calibri"/>
        <family val="2"/>
        <scheme val="minor"/>
      </rPr>
      <t xml:space="preserve">Definition from 62443:
</t>
    </r>
    <r>
      <rPr>
        <b/>
        <i/>
        <sz val="11"/>
        <color theme="1"/>
        <rFont val="Calibri"/>
        <family val="2"/>
        <scheme val="minor"/>
      </rPr>
      <t>3.1.29 mobile code</t>
    </r>
    <r>
      <rPr>
        <i/>
        <sz val="11"/>
        <color theme="1"/>
        <rFont val="Calibri"/>
        <family val="2"/>
        <scheme val="minor"/>
      </rPr>
      <t xml:space="preserve">
program transferred between assets that can be executed without explicit installation by the
recipient
EXAMPLE JavaScript, VBScript, Java applets, ActiveX controls, Flash animations, Shockwave movies, and
Microsoft Office macros. </t>
    </r>
  </si>
  <si>
    <t>2.4b</t>
  </si>
  <si>
    <t xml:space="preserve">The security policy shall allow, at a minimum, the following actions for each mobile code technology used on the embedded device:
b) Control which users (human, software process, or device) are allowed to transfer mobile code to/from the application;
</t>
  </si>
  <si>
    <t>2.4c</t>
  </si>
  <si>
    <t>The security policy shall allow, at a minimum, the following actions for each mobile code technology used on the embedded device:
ac) Control the execution of mobile code based on the results of an integrity check prior to the code being executed.</t>
  </si>
  <si>
    <t>EDR RE</t>
  </si>
  <si>
    <t>The embedded device shall provide the capability to enforce a security policy that allows the device to control execution of mobile code based on the results of an authenticity check prior to the code being executed</t>
  </si>
  <si>
    <t>HDR</t>
  </si>
  <si>
    <t>In the event that a host device utilizes mobile code technologies, the embedded device shall provide the capability to enforce a security policy for the usage of mobile code technologies.  The security policy shall allow, at a minimum, the following actions for each mobile code technology used on the host device:
a) Control execution of mobile code;
b) Control which users (human, software process, or device) are allowed to upload mobile code to the device;
c) Control the code execution based upon integrity checks on the mobile code and prior to the code being executed</t>
  </si>
  <si>
    <t>HDR RE</t>
  </si>
  <si>
    <t>The host device shall provide the capability to enforce a security policy that allows the device to control execution of mobile code based on the results of an authenticity check prior to the code being executed</t>
  </si>
  <si>
    <t>In the event that a network device utilizes mobile code technologies, the embedded device shall provide the capability to enforce a security policy for the usage of mobile code technologies.  The security policy shall allow, at a minimum, the following actions for each mobile code technology used on the network device:
a) Control execution of mobile code;
b) Control which users (human, software process, or device) are allowed to upload mobile code to the device;
c) Control the code execution based upon integrity checks on the mobile code and prior to the code being executed</t>
  </si>
  <si>
    <t>2.5</t>
  </si>
  <si>
    <t>Session lock</t>
  </si>
  <si>
    <t>If a component provides a human user interface, whether accessed locally or via a network, the component shall provide the capability
a) to protect against further access by initiating a session lock after a configurable time period of inactivity or by manual initiation by the user (human, software process or device); and 
b) for the session lock to remain in effect until the human user who owns the session, or another authorized human user, re-establishes access using appropriate identification and authentication procedures.</t>
  </si>
  <si>
    <t>2.6</t>
  </si>
  <si>
    <t>Remote session termination</t>
  </si>
  <si>
    <t>If a component supports remote sessions, the component shall provide the capability to terminate a remote session either automatically after a configurable time period of inactivity, manually by a local authority, or manually by the user (human, software process or device) who initiated the session.</t>
  </si>
  <si>
    <t>2.7</t>
  </si>
  <si>
    <t>Concurrent session control</t>
  </si>
  <si>
    <t xml:space="preserve">Components shall provide the capability to limit the number of concurrent sessions per interface for any given user (human, software process or device). </t>
  </si>
  <si>
    <t>2.8</t>
  </si>
  <si>
    <t>Auditable events</t>
  </si>
  <si>
    <t>Components shall provide the capability to generate audit records relevant to security for the following categories:
a) access control;
b) request errors;
c) control system events;
d) backup and restore event;
e) configuration changes; and
f) audit log events.
Individual audit records shall include:
a) timestamp;
b) source (originating device, software process or human user account);
c) category;
d) type;
e) event ID; and
f) event result.</t>
  </si>
  <si>
    <t>2.9</t>
  </si>
  <si>
    <t>Audit storage capacity</t>
  </si>
  <si>
    <t>Components shall 
a) provide the capability to allocate audit record storage capacity according to commonly recognized recommendations for log management; and
b) provide mechanisms to protect against a failure of the component when it reaches or exceeds the audit storage capacity.</t>
  </si>
  <si>
    <t>2.9.1</t>
  </si>
  <si>
    <t>Warn when audit record storage capacity threshold reached</t>
  </si>
  <si>
    <t>Components shall provide the capability to issue a warning when the allocated audit record storage reaches a configurable threshold.</t>
  </si>
  <si>
    <t>2.10</t>
  </si>
  <si>
    <t>Response to audit processing failures</t>
  </si>
  <si>
    <t>Components shall 
a) provide the capability to protect against the loss of essential services and functions in the event of an audit processing failure; and
b) provide the capability to support appropriate actions in response to an audit processing failure according to commonly accepted industry practices and recommendations.</t>
  </si>
  <si>
    <t>2.11</t>
  </si>
  <si>
    <t>Timestamps</t>
  </si>
  <si>
    <t>Components shall provide the capability to create timestamps (including date and time) for use in audit records.</t>
  </si>
  <si>
    <t>2.11.1</t>
  </si>
  <si>
    <t>Time synchronization</t>
  </si>
  <si>
    <t>Components shall provide the capability to create timestamps that are synchronized with a system wide time source.</t>
  </si>
  <si>
    <t>2.11.2</t>
  </si>
  <si>
    <t>Protection of time source integrity</t>
  </si>
  <si>
    <t>The time synchronization mechanism shall provide the capability to detect unauthorized alteration and cause an audit event upon alteration.</t>
  </si>
  <si>
    <t>2.12</t>
  </si>
  <si>
    <t>Non-repudiation</t>
  </si>
  <si>
    <t>If a component provides a human user interface, the component shall provide the capability to determine whether a given human user took a particular action.
Control elements that are not able to support such capability shall be listed in component documents.</t>
  </si>
  <si>
    <t>2.12.1</t>
  </si>
  <si>
    <t>Non-repudiation for all users</t>
  </si>
  <si>
    <t>Components shall provide the capability to determine whether a given user (human, software process or device) took a particular action.</t>
  </si>
  <si>
    <t>2.13</t>
  </si>
  <si>
    <t>Use of physical diagnostic and test interfaces</t>
  </si>
  <si>
    <t>Embedded devices shall prevent unauthorized use of the physical factory diagnostic and test interface(s) (e.g. JTAG Debugging).</t>
  </si>
  <si>
    <t>MCSR 1.0 is more strict as to not allow debugging interfaces at all, also software debugging symbols are included in MCSR 1.0</t>
  </si>
  <si>
    <t>MP-04.1</t>
  </si>
  <si>
    <t>MP-4.1 SD-4</t>
  </si>
  <si>
    <t>2.13.1</t>
  </si>
  <si>
    <t>Active monitoring</t>
  </si>
  <si>
    <t>Embedded devices shall provide active monitoring of the device’s diagnostic and test interface(s) and generate a log entry when attempts to access these interface(s) are detected.</t>
  </si>
  <si>
    <t>Host devices shall prevent unauthorized use of the physical factory diagnostic and test interface(s) (e.g. JTAG debugging).</t>
  </si>
  <si>
    <t>MP-4.1
MP-4.2</t>
  </si>
  <si>
    <t>Host devices shall provide active monitoring of the device’s diagnostic and test interface(s) and generate a log entry when attempts to access these interface(s) are detected.</t>
  </si>
  <si>
    <t>Network devices shall prevent unauthorized use of the physical factory diagnostic and test interface(s) (e.g. JTAG debugging).</t>
  </si>
  <si>
    <t>Network devices shall provide active monitoring of the device’s diagnostic and test interface(s) and generate a log entry when attempts to access these interface(s) are detected.</t>
  </si>
  <si>
    <t>Ensure the integrity of the IACS to prevent unauthorized manipulation.</t>
  </si>
  <si>
    <t>Communication integrity</t>
  </si>
  <si>
    <t>Components shall provide the capability to protect integrity of transmitted information.</t>
  </si>
  <si>
    <t>MP-15.1</t>
  </si>
  <si>
    <t>3.1.1</t>
  </si>
  <si>
    <t>Communication authentication</t>
  </si>
  <si>
    <t>Components shall provide the capability to verify authenticity of received information during communication.
NOTE:  Both integrity protection and authentication of origin can be achieved without providing confidentiality protection.</t>
  </si>
  <si>
    <t>MP-15 talks about "secure protocols" which we usually interpret as at least providing integrity and authenticity.</t>
  </si>
  <si>
    <t>3.2</t>
  </si>
  <si>
    <t>Protection from malicious code</t>
  </si>
  <si>
    <t>The application product supplier shall qualify and document which protection from malicious code mechanisms are compatible with the application and note any special configuration requirements.</t>
  </si>
  <si>
    <t xml:space="preserve">3.2 </t>
  </si>
  <si>
    <t>The embedded device shall provide the capability to protect from installation and execution of unauthorized software.</t>
  </si>
  <si>
    <t>MCSR for products just require scanning of SW packages
Malware scanning is different from authorization of software to be executed!</t>
  </si>
  <si>
    <t>There shall be mechanisms on host devices that are qualified by the IACS product supplier to provide protection from malicious code. The IACS product supplier shall document any special configuration requirements related to protection from malicious code.</t>
  </si>
  <si>
    <t>3.2.1</t>
  </si>
  <si>
    <t>Report version of code protection</t>
  </si>
  <si>
    <t>The host device shall automatically report the software and file versions of protection from malicious code in use (as part of overall logging function).</t>
  </si>
  <si>
    <t>The network device shall provide for protection from malicious code</t>
  </si>
  <si>
    <t>3.3</t>
  </si>
  <si>
    <t>Security functionality verification</t>
  </si>
  <si>
    <t>Components shall provide the capability to support verification of the intended operation of security functions according to ISA‑62443‑3‑3 [11] SR3.3</t>
  </si>
  <si>
    <t>MP-07 is about documentation, not about components performing something</t>
  </si>
  <si>
    <t>3.3.1</t>
  </si>
  <si>
    <t>Security functionality verification during normal operation</t>
  </si>
  <si>
    <t>Components shall provide the capability to support verification of the intended operation of security functions during normal operations. 
NOTE   This RE needs to be carefully implemented to avoid detrimental effects. It may not be suitable for safety systems.</t>
  </si>
  <si>
    <t>3.4</t>
  </si>
  <si>
    <t>Software and information integrity</t>
  </si>
  <si>
    <t>3.4a</t>
  </si>
  <si>
    <t>Components shall provide the capability to perform or support integrity checks on
a) software</t>
  </si>
  <si>
    <t>MCSR MP-13.2 focuses on software packages, does not address "configuration and other information" and does not require reporting. Software must include updates as well.
MP-7 is on documentation.</t>
  </si>
  <si>
    <t>MP-13.2</t>
  </si>
  <si>
    <t>MP-7.3</t>
  </si>
  <si>
    <t>3.4b</t>
  </si>
  <si>
    <t>Components shall provide the capability to perform or support integrity checks on
b) configuration</t>
  </si>
  <si>
    <t>3.4c</t>
  </si>
  <si>
    <t>Components shall provide the capability to perform or support integrity checks on
c) other information</t>
  </si>
  <si>
    <t>3.4d</t>
  </si>
  <si>
    <t>Components shall provide the capability to perform or support 
d) the recording of the results of these integrity checks.</t>
  </si>
  <si>
    <t>3.4e</t>
  </si>
  <si>
    <t>Components shall provide the capability to perform or support 
e) reporting of the results of these integrity checks</t>
  </si>
  <si>
    <t>3.4f</t>
  </si>
  <si>
    <t>f) Or components shall provide the capability to be integrated into a system that can perform or support integrity checks.</t>
  </si>
  <si>
    <t>3.4.1</t>
  </si>
  <si>
    <t>Authenticity of software and information</t>
  </si>
  <si>
    <t>3.4.1a</t>
  </si>
  <si>
    <t>Components shall provide the capability to perform or support authenticity checks on
a) software</t>
  </si>
  <si>
    <t>3.4.1b</t>
  </si>
  <si>
    <t>Components shall provide the capability to perform or support authenticity checks on
b) configuration</t>
  </si>
  <si>
    <t>3.4.1c</t>
  </si>
  <si>
    <t>Components shall provide the capability to perform or support authenticity checks on
c) other information</t>
  </si>
  <si>
    <t>3.4.1d</t>
  </si>
  <si>
    <t>Components shall provide the capability to perform or support 
d) the recording of the results of these authenticity checks.</t>
  </si>
  <si>
    <t>3.4.1e</t>
  </si>
  <si>
    <t>Components shall provide the capability to perform or support 
e) reporting of the results of these authenticity checks</t>
  </si>
  <si>
    <t>3.4.1f</t>
  </si>
  <si>
    <t>f) Or components shall provide the capability to be integrated into a system that can perform or support authenticity checks.</t>
  </si>
  <si>
    <t>3.4.2</t>
  </si>
  <si>
    <t>Automated notification of integrity violations</t>
  </si>
  <si>
    <t>If the component is performing the integrity check, it shall be capable of automatically providing notification to a configurable entity upon discovery of an attempt to make an unauthorized change.</t>
  </si>
  <si>
    <t>3.5</t>
  </si>
  <si>
    <t>Input validation</t>
  </si>
  <si>
    <t>Components shall validate the syntax, length and content of any input data that is used as an industrial process control input or input via external interfaces that directly impacts the action of the component.</t>
  </si>
  <si>
    <t>Partially addressed by DSAC, should this be kept or not? Could give a wrong signal… an equivalent is in security assessment list. Suggestion is to keep it, but it may be perceived as raising the bar…</t>
  </si>
  <si>
    <t>MP-01.1</t>
  </si>
  <si>
    <t>3.6</t>
  </si>
  <si>
    <t>Deterministic output</t>
  </si>
  <si>
    <t>Components that physically or logically connect to an automation process shall provide the capability to set outputs to a predetermined state if normal operation as defined by the component supplier cannot be maintained.</t>
  </si>
  <si>
    <t>3.7</t>
  </si>
  <si>
    <t>Error handling</t>
  </si>
  <si>
    <t>Components shall identify and handle error conditions in a manner that does not provide information that could be exploited by adversaries to attack the IACS.</t>
  </si>
  <si>
    <t>3.8</t>
  </si>
  <si>
    <t>Session Integrity</t>
  </si>
  <si>
    <t>3.8a</t>
  </si>
  <si>
    <t>Components shall provide mechanisms to protect the integrity of communications sessions including:
a)  the capability to invalidate session identifiers upon user logout or other session termination (including browser sessions);</t>
  </si>
  <si>
    <t>Relates to input validation / communication robustness, as well as secure protocols</t>
  </si>
  <si>
    <t>3.8b</t>
  </si>
  <si>
    <t>Components shall provide mechanisms to protect the integrity of communications sessions including:
b) the capability to generate a unique session identifier for each session and recognize only session identifiers that are system-generated</t>
  </si>
  <si>
    <t>3.8c</t>
  </si>
  <si>
    <t>Components shall provide mechanisms to protect the integrity of communications sessions including:
c) the capability to generate unique session identifiers with commonly accepted sources of randomness.</t>
  </si>
  <si>
    <t>3.9</t>
  </si>
  <si>
    <t>Protection of audit information</t>
  </si>
  <si>
    <t>Components shall protect audit information, audit logs, and audit tools (if present) from unauthorized access, modification and deletion.</t>
  </si>
  <si>
    <t>3.9.1</t>
  </si>
  <si>
    <t>Audit records on write-once media</t>
  </si>
  <si>
    <t>Components shall provide the capability to store audit records on hardware-enforced write-once media.</t>
  </si>
  <si>
    <t>3.10</t>
  </si>
  <si>
    <t>Support for updates</t>
  </si>
  <si>
    <t>The embedded device shall support the ability to be updated and upgraded.</t>
  </si>
  <si>
    <t>MP-09.1
MP-09.2
MP-13.1</t>
  </si>
  <si>
    <t>MP-9.1</t>
  </si>
  <si>
    <t>MP-13.1
(CR 3.10 would be fitting but there is no 3.10 for SAR)</t>
  </si>
  <si>
    <t>3.10.1</t>
  </si>
  <si>
    <t>Update authenticity and integrity</t>
  </si>
  <si>
    <t>The embedded device shall validate the authenticity and integrity of any software update or upgrade prior to installation.</t>
  </si>
  <si>
    <t>MCSR would allow to provide a hash code to provide integrity and authenticity(provided the hash code was downloaded from ABB.com)</t>
  </si>
  <si>
    <t>MP-09.1
MP-13.1</t>
  </si>
  <si>
    <t>Host devices shall support the ability to be updated and upgraded.</t>
  </si>
  <si>
    <t>MP-09.1</t>
  </si>
  <si>
    <t>Host devices shall validate the authenticity and integrity of any software update or upgrade prior to installation.</t>
  </si>
  <si>
    <t>Network devices shall support the ability to be updated and upgraded.</t>
  </si>
  <si>
    <t>Network devices shall validate the authenticity and integrity of any software update or upgrade prior to installation.</t>
  </si>
  <si>
    <t>3.11</t>
  </si>
  <si>
    <t>Physical tamper resistance and detection</t>
  </si>
  <si>
    <t>The embedded device shall provide tamper resistance and detection mechanisms to protect against unauthorized physical access into the device</t>
  </si>
  <si>
    <t>3.11.1</t>
  </si>
  <si>
    <t>Notification of a tampering attempt</t>
  </si>
  <si>
    <t>The embedded device shall be capable of automatically providing notification to a configurable set of recipients upon discovery of an attempt to make an unauthorized physical access. All notifications of tampering shall be logged as part of the overall audit logging function.</t>
  </si>
  <si>
    <t>Host devices shall provide the capability to support tamper resistance and detection mechanisms to protect against unauthorized physical access into the device.</t>
  </si>
  <si>
    <t>Host devices shall be capable of automatically providing notification to a configurable set of recipients upon discovery of an attempt to make an unauthorized physical access. All notifications of tampering shall be logged as part of the overall audit logging function.</t>
  </si>
  <si>
    <t>Network devices shall provide tamper resistance and detection mechanisms to protect against unauthorized physical access into the device.</t>
  </si>
  <si>
    <t>Network devices shall be capable of automatically providing notification to a configurable set of recipients upon discovery of an attempt to make an unauthorized physical access. All notifications of tampering shall be logged as part of the overall audit logging function.</t>
  </si>
  <si>
    <t>3.12</t>
  </si>
  <si>
    <t>Provisioning product supplier roots of trust</t>
  </si>
  <si>
    <t xml:space="preserve">Embedded devices shall provide the capability to provision and protect the confidentiality, integrity, and authenticity of product supplier keys and data to be used as one or more “roots of trust” at the time of manufacture of the device. </t>
  </si>
  <si>
    <t>MCSR does not require a supplier root of trust, like 802.1 AR (IDevID)
Only required for Internet-facing according to MCSR1.0</t>
  </si>
  <si>
    <t>IfS</t>
  </si>
  <si>
    <t xml:space="preserve">Host devices shall provide the capability to provision and protect the confidentiality, integrity, and authenticity of product supplier keys and data to be used as one or more “roots of trust” at the time of manufacture of the device. </t>
  </si>
  <si>
    <t>Only required for Internet-facing according to MCSR1.0</t>
  </si>
  <si>
    <t>MP-7.4
MP-7.5</t>
  </si>
  <si>
    <t xml:space="preserve">Network devices shall provide the capability to provision and protect the confidentiality, integrity, and authenticity of product supplier keys and data to be used as one or more “roots of trust” at the time of manufacture of the device. </t>
  </si>
  <si>
    <t>3.13</t>
  </si>
  <si>
    <t>Provisioning asset owner roots of trust</t>
  </si>
  <si>
    <t>3.13a</t>
  </si>
  <si>
    <t>Embedded devices shall 
a) provide the capability to provision and protect the confidentiality, integrity, and authenticity of asset owner keys and data to be used as “roots of trust”</t>
  </si>
  <si>
    <t>Ifs</t>
  </si>
  <si>
    <t>3.13b</t>
  </si>
  <si>
    <t xml:space="preserve">Embedded devices shall 
b) support the capability to provision without reliance on components that may be outside of the device’s security zone. </t>
  </si>
  <si>
    <t xml:space="preserve">Host devices shall 
a) provide the capability to provision and protect the confidentiality, integrity, and authenticity of asset owner keys and data to be used as “roots of trust” </t>
  </si>
  <si>
    <t xml:space="preserve">Host devices shall 
b) support the capability to provision without reliance on components that may be outside of the device’s security zone. </t>
  </si>
  <si>
    <t>Network devices shall 
a) provide the capability to provision and protect the confidentiality, integrity, and authenticity of asset owner keys and data to be used as “roots of trust”</t>
  </si>
  <si>
    <t xml:space="preserve">Network devices shall 
b) support the capability to provision without reliance on components that may be outside of the device’s security zone. </t>
  </si>
  <si>
    <t>3.14</t>
  </si>
  <si>
    <t>Integrity of the boot process</t>
  </si>
  <si>
    <t>3.14a</t>
  </si>
  <si>
    <t>Embedded devices shall verify the integrity of the firmware needed for the component’s boot and runtime processes prior to use.</t>
  </si>
  <si>
    <t>MCSR does not require secure boot for non Internet facing Solutions which is prerequisit for supplier root of trust</t>
  </si>
  <si>
    <t>3.14b</t>
  </si>
  <si>
    <t>Embedded devices shall verify the integrity of the software needed for the component’s boot and runtime processes prior to use.</t>
  </si>
  <si>
    <t>3.14c</t>
  </si>
  <si>
    <t>Embedded devices shall verify the integrity of the configuration data needed for the component’s boot and runtime processes prior to use.</t>
  </si>
  <si>
    <t>3.14.1</t>
  </si>
  <si>
    <t>Authenticity of the boot process</t>
  </si>
  <si>
    <t>Embedded devices shall use the component’s product supplier roots of trust to verify the authenticity of the firmware, software, and configuration data needed for the component’s boot process prior to it being used in the boot process.</t>
  </si>
  <si>
    <t>Host devices shall verify the integrity of the firmware  needed for component’s boot process prior to it being used in the boot process.</t>
  </si>
  <si>
    <t>Host devices shall verify the integrity of the softwareneeded for component’s boot process prior to it being used in the boot process.</t>
  </si>
  <si>
    <t>Host devices shall verify the integrity of the configuration data needed for component’s boot process prior to it being used in the boot process.</t>
  </si>
  <si>
    <t>Authenticity of boot process</t>
  </si>
  <si>
    <t>Host devices shall use the component’s product supplier roots of trust to verify the authenticity of the firmware, software, and configuration data needed for component’s boot process prior to it being used in the boot process.</t>
  </si>
  <si>
    <t>Network devices shall verify the integrity of the firmware needed for the component’s boot and runtime processes prior to use.</t>
  </si>
  <si>
    <t>Network devices shall verify the integrity of the software needed for the component’s boot and runtime processes prior to use.</t>
  </si>
  <si>
    <t>Network devices shall verify the integrity of the configuration data needed for the component’s boot and runtime processes prior to use.</t>
  </si>
  <si>
    <t>Network devices shall use the component’s product supplier roots of trust to verity the authenticity of the firmware, software, and configuration data needed for component’s boot process prior to it being used in the boot process.</t>
  </si>
  <si>
    <t>Ensure the confidentiality of information on communication channels and in data repositories
to prevent unauthorized disclosure.</t>
  </si>
  <si>
    <t>4.1</t>
  </si>
  <si>
    <t>Information confidentiality</t>
  </si>
  <si>
    <t>4.1a</t>
  </si>
  <si>
    <t>Components shall 
a) provide the capability to protect the confidentiality of information at rest for which explicit read authorization is supported</t>
  </si>
  <si>
    <t>MCSR for products only covers b, MCSR IFS also cover In Transit, at rest and in use.</t>
  </si>
  <si>
    <t>IfS MIFP-RE.4</t>
  </si>
  <si>
    <t>4.1b</t>
  </si>
  <si>
    <t>Components shall 
b) support the protection of the confidentiality of information in transit as defined in ISA‑62443‑3‑3 [11] SR 4.1.</t>
  </si>
  <si>
    <t>Secure protocols is commonly interpreted in MCSR to be integrity and authenticity, not necessarily confidentiality.</t>
  </si>
  <si>
    <t>IFS MIFP-RE.2</t>
  </si>
  <si>
    <t>4.2</t>
  </si>
  <si>
    <t>Information persistence</t>
  </si>
  <si>
    <t>Components shall provide the capability to erase all information for which explicit read authorization is supported from components to be released from active service and/or decommissioned.</t>
  </si>
  <si>
    <t>4.2.1</t>
  </si>
  <si>
    <t>Erase of shared memory resources</t>
  </si>
  <si>
    <t>Components shall provide the capability to protect against unauthorized and unintended information transfer via volatile shared memory resources. 
Volatile memory resources are those that generally do not retain information after being released to memory management. However, there are attacks against random access memory (RAM) which might extract key material or other confidential data before it is actually over-written. Therefore, when volatile shared memory is released back to the control system for use by a different user, all unique data and connections to unique data need to be purged from the resource so it is not visible or accessible to the new user.</t>
  </si>
  <si>
    <t>4.2.2</t>
  </si>
  <si>
    <t>Erase verification</t>
  </si>
  <si>
    <t>Components shall provide the capability to verify that the erasure of information occurred.</t>
  </si>
  <si>
    <t>4.3</t>
  </si>
  <si>
    <t>Use of cryptography</t>
  </si>
  <si>
    <t>If cryptography is required, the component shall use cryptographic security mechanisms according to internationally recognized and proven security practices and recommendations.</t>
  </si>
  <si>
    <t>MP-03.1
MP-03.2</t>
  </si>
  <si>
    <t>MP-3.1
MP-03.2</t>
  </si>
  <si>
    <t>Segment the control system via zones and conduits to limit the unnecessary flow of data.</t>
  </si>
  <si>
    <t>Network segmentation</t>
  </si>
  <si>
    <t>Components shall support a segmented network to support zones and conduits as needed, to support the broader network architecture based on logical segmentation and criticality.</t>
  </si>
  <si>
    <t>Zone boundary protection</t>
  </si>
  <si>
    <t>A network device at a zone boundary shall provide the capability to monitor and control communications at zone boundaries to enforce the compartmentalization defined in the risk-based zones and conduits model.</t>
  </si>
  <si>
    <t>5.2.1</t>
  </si>
  <si>
    <t>Deny all, permit by exception</t>
  </si>
  <si>
    <t>The network component shall provide the capability to deny network traffic by default and allow network traffic by exception (also termed deny all, permit by exception).</t>
  </si>
  <si>
    <t>5.2.2</t>
  </si>
  <si>
    <t>Island mode</t>
  </si>
  <si>
    <t xml:space="preserve">The network component shall provide the capability to protect against any communication through the control system boundary (also termed island mode). 
NOTE 1  Examples of when this capability may be used include where a security violation and/or breach has been detected within the control system, or an attack is occurring at the enterprise level.
</t>
  </si>
  <si>
    <t>5.2.3</t>
  </si>
  <si>
    <t>Fail close</t>
  </si>
  <si>
    <t>The network component shall provide the capability to protect against any communication through the control system boundary when there is an operational failure of the boundary protection mechanisms (also termed fail close).
NOTE 2  Examples of when this capability may be used include scenarios where a hardware failure or power failure causes boundary protection devices to function in a degraded mode or fail entirely.</t>
  </si>
  <si>
    <t>General, person-to-person communication restrictions</t>
  </si>
  <si>
    <t>A network device at a zone boundary shall provide the capability to protect against general purpose, person-to-person messages from being received from users or systems external to the control system.</t>
  </si>
  <si>
    <t>Application partitioning</t>
  </si>
  <si>
    <t xml:space="preserve">There is no component level requirement associated with ISA‑62443‑3‑3 SR 5.4. </t>
  </si>
  <si>
    <t>Respond to security violations by notifying the proper authority, reporting needed evidence of the violation and taking timely corrective action when incidents are discovered.</t>
  </si>
  <si>
    <t>6.1</t>
  </si>
  <si>
    <t>Audit log accessibility</t>
  </si>
  <si>
    <t>Components shall provide the capability for authorized humans and/or tools to access audit logs on a read-only basis.</t>
  </si>
  <si>
    <t>6.1.1</t>
  </si>
  <si>
    <t>Programmatic access to audit logs</t>
  </si>
  <si>
    <t>Components shall provide programmatic access to audit records by either using an application programming interface (API) or sending the audit records to a centralized system.</t>
  </si>
  <si>
    <t>6.2</t>
  </si>
  <si>
    <t>Continuous monitoring</t>
  </si>
  <si>
    <t>Components shall provide the capability to be continuously monitored using commonly accepted security industry practices and recommendations to detect, characterize and report security breaches in a timely manner.</t>
  </si>
  <si>
    <t>Ensure the availability of the control system against the degradation or denial of essential
services.</t>
  </si>
  <si>
    <t>7.1</t>
  </si>
  <si>
    <t>Denial of Service protection</t>
  </si>
  <si>
    <t>Components shall provide the capability to maintain essential functions when operating in a degraded mode as the result of a DoS event.</t>
  </si>
  <si>
    <t>Largely covered by DSAC testing</t>
  </si>
  <si>
    <t>MP-01.1
MP-01.2</t>
  </si>
  <si>
    <t>7.1.1</t>
  </si>
  <si>
    <t xml:space="preserve">(1) Manage communication load from component </t>
  </si>
  <si>
    <t>Components shall provide the capability to mitigate the effects of information and/or message flooding types of DoS events.</t>
  </si>
  <si>
    <t>7.2</t>
  </si>
  <si>
    <t>Resource management</t>
  </si>
  <si>
    <t>Components shall provide the capability to limit the use of resources by security functions to protect against resource exhaustion.</t>
  </si>
  <si>
    <t>7.3</t>
  </si>
  <si>
    <t>Control system backup</t>
  </si>
  <si>
    <t>Components shall provide the capability to participate in system level backup operations in order to safeguard the component state (user- and system-level information). The backup process shall not affect the normal component operations.</t>
  </si>
  <si>
    <t>7.3.1</t>
  </si>
  <si>
    <t>Backup integrity verification</t>
  </si>
  <si>
    <t>Components shall provide the capability to validate the integrity of backed up information prior to the initiation of a restore of that information.</t>
  </si>
  <si>
    <t>7.4</t>
  </si>
  <si>
    <t>Control system recovery and reconstitution</t>
  </si>
  <si>
    <t>Components shall provide the capability to be recovered and reconstituted to a known secure state after a disruption or failure.</t>
  </si>
  <si>
    <t>7.5</t>
  </si>
  <si>
    <t>Emergency Power</t>
  </si>
  <si>
    <t>There is no component level requirement associated with ISA-62443-3-3 SR 7.5</t>
  </si>
  <si>
    <t>7.6</t>
  </si>
  <si>
    <t>Network and security configuration settings</t>
  </si>
  <si>
    <t>7.6a</t>
  </si>
  <si>
    <t xml:space="preserve">Components shall provide the capability to be configured according to recommended network and security configurations as described in guidelines provided by the control system supplier. </t>
  </si>
  <si>
    <t>7.6b</t>
  </si>
  <si>
    <t>The component shall provide an interface to the currently deployed network and security configuration settings.</t>
  </si>
  <si>
    <t>7.6.1</t>
  </si>
  <si>
    <t xml:space="preserve">Machine-readable reporting of current security settings </t>
  </si>
  <si>
    <t>Components shall provide the capability to generate a report listing the currently deployed security settings in a machine-readable format.</t>
  </si>
  <si>
    <t>7.7</t>
  </si>
  <si>
    <t>Least functionality</t>
  </si>
  <si>
    <t>Components shall provide the capability to specifically restrict the use of unnecessary functions, ports, protocols and/or services.</t>
  </si>
  <si>
    <t>MP-04.1
MP-04.2
MP-04.3</t>
  </si>
  <si>
    <t>Valid for mobile applications when components include application. 
MP-04.4 needs to be handled in SDL.</t>
  </si>
  <si>
    <t>7.8</t>
  </si>
  <si>
    <t>Control system component inventory</t>
  </si>
  <si>
    <t>Components shall provide the capability to support a control system component inventory according to ISA‑62443‑3‑3  SR 7.8.</t>
  </si>
  <si>
    <t>Note: -3-3 SR 7.8 requires that "The control system shall provide the capability to report the current list of installed components and their associated properties."</t>
  </si>
  <si>
    <t>IEC/ISA 99 62443-3-3 Edition 1</t>
  </si>
  <si>
    <t>Part 3-3: System security requirements and security levels</t>
  </si>
  <si>
    <t>2013-08</t>
  </si>
  <si>
    <t>Common Component Security Constraints</t>
  </si>
  <si>
    <t>The components of the system shall adhere to specific constraints as described in clause 4 of ISA‑62443‑3‑3.</t>
  </si>
  <si>
    <t>CCSC</t>
  </si>
  <si>
    <t>1a</t>
  </si>
  <si>
    <t>Access Controls (IAC and UC) shall not prevent the operation of essential functions, specifically: 
 - Accounts used for essential functions shall not be locked out, even temporarily (see 5.5, SR 1.3 – Account management, 5.6, SR 1.4 – Identifier management, 5.13, SR 1.11 – Unsuccessful login attempts and 6.7, SR 2.5 – Session lock).</t>
  </si>
  <si>
    <t>1b</t>
  </si>
  <si>
    <t xml:space="preserve">Access Controls (IAC and UC) shall not prevent the operation of essential functions, specifically: 
- Verifying and recording operator actions to enforce non-repudiation shall not add significant delay to system response time (see 6.14, SR 2.12 – Non-repudiation). </t>
  </si>
  <si>
    <t>1c</t>
  </si>
  <si>
    <t xml:space="preserve">Access Controls (IAC and UC) shall not prevent the operation of essential functions, specifically: 
- For high availability control systems, the failure of the certificate authority shall not interrupt essential functions (see 5.10, SR 1.8 – Public key infrastructure (PKI) certificates). </t>
  </si>
  <si>
    <t>1d</t>
  </si>
  <si>
    <t xml:space="preserve">Access Controls (IAC and UC) shall not prevent the operation of essential functions, specifically: 
-  Identification and authentication shall not prevent the initiation of the SIF (see 5.3, SR 1.1 – Human user identification and authentication and 5.4, SR 1.2 – Software process and device identification and authentication). </t>
  </si>
  <si>
    <t>1e</t>
  </si>
  <si>
    <t xml:space="preserve">Access Controls (IAC and UC) shall not prevent the operation of essential functions, specifically: 
Authorization enforcement whall not prevent the initiation of the SIF (see 6.3, SR 2.1 – Authorization enforcement). </t>
  </si>
  <si>
    <t>1f</t>
  </si>
  <si>
    <t xml:space="preserve">Incorrectly timestamped audit records (see 6.10, SR 2.8 – Auditable events and 6.13 SR 2.11 – Timestamps) shall not adversely affect essential functions. </t>
  </si>
  <si>
    <t>1g</t>
  </si>
  <si>
    <t xml:space="preserve">Essential functions of an IACS shall be maintained if zone boundary protection goes into fail-close and/or island mode (see 9.4, SR 5.2 – Zone boundary protection). </t>
  </si>
  <si>
    <t>1h</t>
  </si>
  <si>
    <t xml:space="preserve">A denial of service (DoS) event on the control system or safety instrumented system (SIS) network shall not prevent the SIF from acting (see 11.3, SR 7.1 – Denial of service protection). </t>
  </si>
  <si>
    <t>Compensating Countermeasures</t>
  </si>
  <si>
    <t>There will be cases where one or more requirements specified in the document cannot be met without the assistance of a compensating countermeasure that is external to the component.  When this is the case the documentation for that component shall describe the appropriate countermeasures applied by the system to allow the requirement to be met when the component is integrated into a system.</t>
  </si>
  <si>
    <t>Least Privilege</t>
  </si>
  <si>
    <t>When required and appropriate, one or more system components (software applications, embedded devices, host devices and network devices) shall provide the capability for the system to enforce the concept of least privilege. Individual system components shall provide the granularity of permissions and flexibility of mapping those permissions to roles sufficient to support it. Individual accountability shall be available when required.</t>
  </si>
  <si>
    <t>Software Development Process</t>
  </si>
  <si>
    <t>All of the components defined in this document shall be developed and supported following the secure product development processes described in ISA‑62443‑4‑1.</t>
  </si>
  <si>
    <t>ABB MCSR 1.0 not mapped to IEC 62443-4-2</t>
  </si>
  <si>
    <t>ABB MCSR 1.0</t>
  </si>
  <si>
    <t>MP</t>
  </si>
  <si>
    <t>Protection from malware propagation</t>
  </si>
  <si>
    <t>Any packaged software (packaged meaning installer or part-number software) must be successfully scanned for malware with at least 3 different up-to-date anti-virus solutions before delivery. Scanning shall not be limited to the actual files but shall also include scanning of the entire storage media used for delivery (e.g., DVD, hard disk, flash card).</t>
  </si>
  <si>
    <t>End-user documentation</t>
  </si>
  <si>
    <t>End-user documentation shall include:
All user and system accounts in the ABB delivery with a recommendation to change at least the access credentials</t>
  </si>
  <si>
    <t>12.2</t>
  </si>
  <si>
    <t>Deployment guidelines</t>
  </si>
  <si>
    <t>The deployment guidelines shall follow all relevant requirements and standards available from the ABB Group Cyber Security Council.</t>
  </si>
  <si>
    <t>15.4</t>
  </si>
  <si>
    <t>Secure protocols</t>
  </si>
  <si>
    <t>Where technically feasible, a warning message on the risks associated to the use of insecure protocols shall be displayed to the user upon enabling the insecure protocol.</t>
  </si>
  <si>
    <t>Description</t>
  </si>
  <si>
    <t>IECEE Verdict</t>
  </si>
  <si>
    <t>PASS</t>
  </si>
  <si>
    <t>FAIL</t>
  </si>
  <si>
    <t>NA/NE (under discussion)</t>
  </si>
  <si>
    <t>ABB MCSR 1.0 suggested mapping to SDL</t>
  </si>
  <si>
    <t>These requirements from MCSR 1.0 are more related to SDL and should be considered in the SDL workstream.</t>
  </si>
  <si>
    <t>Removal of backdoor accounts and hardcoded credentials</t>
  </si>
  <si>
    <t>ABB products shall not have any accounts (individual, shared, debug, etc.) that are not documented (note: does not necessarily require to disclose access credentials</t>
  </si>
  <si>
    <t>Documentation is an SDL activity</t>
  </si>
  <si>
    <t>4.4</t>
  </si>
  <si>
    <t>Hardening</t>
  </si>
  <si>
    <t>The product documentation shall list the ports, services and software needed to support the main functionality.</t>
  </si>
  <si>
    <t>MCSR suggestion; Mobile context clarification;
The mobile device development environment access can be omitted from the documentation. Control of these ports are in the domain of the mobile OS."</t>
  </si>
  <si>
    <t>62443-4-1 SG-3: Security hardening guidelines addresses product user documentation related to hardening
62443-4-1 SD-4: Secure design best practices addresses debugging ports to be documented if they cannot be removed</t>
  </si>
  <si>
    <t>Handling of digital certificates</t>
  </si>
  <si>
    <t>If digital certificates are used in the development of the product (e.g., to sign code or as a root to derive product specific certificates) they shall be protected and handled according to “Protection of Digital Certificates”</t>
  </si>
  <si>
    <t>62443-4-1 SM-7
62443-4-1 SM-8</t>
  </si>
  <si>
    <t>End-user documentation shall include:
Description of all ports, services and software needed to support the main functionality.</t>
  </si>
  <si>
    <t>End-user documentation shall include:
Where feasible, a recommendation for at least one malware prevention solution to be used by customers during operation of the product.</t>
  </si>
  <si>
    <t>8.1</t>
  </si>
  <si>
    <t>Vulnerability handling</t>
  </si>
  <si>
    <t>The product organization shall have a process in place to react to vulnerabilities according to the “ABB Software Vulnerability Handling Policy“</t>
  </si>
  <si>
    <t>62443-4-1 SM-11
62443-4-1 DM-1
62443-4-1 DM-2
62443-4-1 DM-3</t>
  </si>
  <si>
    <t>9.1</t>
  </si>
  <si>
    <t>Patch management</t>
  </si>
  <si>
    <t>The product organization shall have a strategy and process in place to deal with relevant 3rd party software security updates and patches.</t>
  </si>
  <si>
    <t>62443-4-1 SM-9</t>
  </si>
  <si>
    <t>9.2</t>
  </si>
  <si>
    <t>The strategy and process for 3rd party software of type A shall at least include:
• Maintaining a list of all relevant 3rd party software dependencies.
• Monitoring for security updates and patches to all relevant 3rd party software.
• Assessment and documentation of applicability of relevant security updates and patches.
• Recommended procedures for application of updates and patches.
• Monitoring for obsolescence of relevant 3rd party software, assessment of potential impact and documentation of steps taken to mitigate potential risk.
• Execution of the vulnerability handling process (as specified in GCSC-MP-RE.8) for updates and patches for 3rd party software of type A deemed applicable and where the patch or update addresses vulnerabilities or security issues.</t>
  </si>
  <si>
    <t>9.3</t>
  </si>
  <si>
    <t>The strategy and process for 3rd party software of type B shall at least include:
• Maintaining a list of all relevant 3rd party software dependencies.
• Recommended approach and procedures for application of updates and patches for each of the listed 3rd party software dependencies.
• Monitoring for obsolescence of relevant 3rd party software, assessment of potential impact and documentation of steps taken to mitigate potential risk.</t>
  </si>
  <si>
    <t>9.4</t>
  </si>
  <si>
    <t>The strategy for 3rd party software of type B shall take into account customer demand and at least regularly assess the need for:
• Validation of 3rd party software updates or patches.
• Communication of validation results to internal and external customers (note: the delivery of such information or the updates or patches might be tied to active maintenance or service contracts).</t>
  </si>
  <si>
    <t>10.1</t>
  </si>
  <si>
    <t>Use of ABB Public Key Infrastructure for digital certificates</t>
  </si>
  <si>
    <t>If digital certificates are used to assure authenticity and integrity of ABB deliveries (e.g., to sign code) they shall be obtained through ABB’s PKI (Public Key Infrastructure) as described in the “ABB Cyber Security Guideline for Code Signing”</t>
  </si>
  <si>
    <t>62443-4-1 SM-6
62443-4-1 SM-7</t>
  </si>
  <si>
    <t>11.1</t>
  </si>
  <si>
    <t>Security assessment</t>
  </si>
  <si>
    <t>For all products a security assessment shall be done using the ABB “Cyber Security Assessment Method” and “Cyber Security Assessment Tool” by a qualified assessor.</t>
  </si>
  <si>
    <t>62443-4-1 SM-12
62443-4-1 SR-5
62443-4-1 SI-1
62443-4-1 SD-3</t>
  </si>
  <si>
    <t>11.2</t>
  </si>
  <si>
    <t>All “Not fulfilled” items identified during the assessment shall be fixed before releasing the product (i.e., passing G5 for products developed following the Gate Model).</t>
  </si>
  <si>
    <t>62443-4-1 SM-11</t>
  </si>
  <si>
    <t>11.3</t>
  </si>
  <si>
    <t>As an alternative to using the ABB Cyber Security Assessment tool, a complete Threat Model can be created. If threat modeling is performed instead of a security assessment, the process and results shall be documented and all relevant requirements and standards available from the ABB Group Cyber Security Council shall be followed.</t>
  </si>
  <si>
    <t>62443-4-1 SR-2</t>
  </si>
  <si>
    <t>11.4</t>
  </si>
  <si>
    <t>The completed Cyber Security Assessment Tool, or alternatively, the documented Threat Model, shall be approved by the respective BU cyber security responsible.</t>
  </si>
  <si>
    <t>62443-4-1 SM-12</t>
  </si>
  <si>
    <t>12.1</t>
  </si>
  <si>
    <t>The product documentation shall include specific instructions on how to configure the security controls provided by the product/system (e.g., RBAC, security logging, or secure communication), as well as the security controls provided in addition to the product/system (e.g., antivirus, whitelisting, or security monitoring) - either as a part of standard product documentation, as a part of general deployment guideline documents, or as a separate document.</t>
  </si>
  <si>
    <t>62443-4-1 SG-1 ... 6</t>
  </si>
  <si>
    <t>13.1</t>
  </si>
  <si>
    <t>Integrity and authenticity of software deliverables</t>
  </si>
  <si>
    <t>Any software delivered to customers shall be packaged in a way to allow the customer to verify the integrity and authenticity of the package.</t>
  </si>
  <si>
    <t>62443-4-1 SM-6</t>
  </si>
  <si>
    <t>13.2</t>
  </si>
  <si>
    <t>Where technically feasible it is required that all relevant files of the software deliverable shall be digitally signed.</t>
  </si>
  <si>
    <t>Mobile context:
Follow the mobile platform guidance and requirements.</t>
  </si>
  <si>
    <t>14.1</t>
  </si>
  <si>
    <t>Product procurement</t>
  </si>
  <si>
    <t>Procurement of any 3rd party software-related product that is part of ABB products or solutions shall be in accordance with the “Minimum Cyber Security Requirements for Product Procurement”</t>
  </si>
  <si>
    <t>15.3</t>
  </si>
  <si>
    <t>If insecure protocols are supported, the security risks related to their use, together with recommended actions, shall be included in both the end-user documentation and deployment guidelines.</t>
  </si>
  <si>
    <t>62443-4-1 SD-1  security capabilities and/or compensating mechanisms used to safeguard the interface and the assets</t>
  </si>
  <si>
    <t>16.1</t>
  </si>
  <si>
    <t>Security Development Lifecycle (SDL)</t>
  </si>
  <si>
    <t>The product organization shall establish, document, and implement initiatives in line with commonly accepted industry standards and practices to build security into the software development process. Such initiatives shall build security within all phases of the development lifecycle,</t>
  </si>
  <si>
    <t>62443-4-1 SM-1
62443-4-1 SM-5
62443-4-1 SM-12</t>
  </si>
  <si>
    <t>16.2</t>
  </si>
  <si>
    <t>Security Development Lifecycle (SDL) - Training</t>
  </si>
  <si>
    <t>The product organization is responsible to ensure an adequate level of knowledge on SDL and security to properly perform SDL activities; training requirements for the development staff shall be defined, documented, and periodically revised.</t>
  </si>
  <si>
    <t>62443-4-1 SM-4</t>
  </si>
  <si>
    <t>16.3</t>
  </si>
  <si>
    <t>The product organization is responsible to ensure that the “Minimum Training and Competence Requirements” as defined by the ABB Group Cyber Security Council are fulfilled.</t>
  </si>
  <si>
    <t>16.4</t>
  </si>
  <si>
    <t>The product organization is expected to receive, and then appropriately propagate, any information on ABB expectations, initiatives, offerings, etc. regarding cyber security delivered by the ABB Group Cyber Security Council.</t>
  </si>
  <si>
    <t>?</t>
  </si>
  <si>
    <t>16.5</t>
  </si>
  <si>
    <t>Security Development Lifecycle (SDL) - Requirements</t>
  </si>
  <si>
    <t>The product organization shall establish a process to handle found security bugs/issues during the development from their discovery to their closure. Such process shall at least include that:
o Security bugs/issues are explicitly identified, classified, and marked.
o All security bugs/issues exceeding a previously defined and documented level shall be fixed, mitigated, or accepted with documented approval by the BU cyber security responsible before product release.</t>
  </si>
  <si>
    <t>62443-4-1 SM-11
62443-4-1 DM-3
62443-4-1 DM-4</t>
  </si>
  <si>
    <t>16.6</t>
  </si>
  <si>
    <t>All components that are critical to the security of the ABB delivery shall be identified and documented. Security controls and SDL activities for such critical components shall be defined, documented, and followed/implemented.</t>
  </si>
  <si>
    <t>62443-4-1 SM-5</t>
  </si>
  <si>
    <t>16.7</t>
  </si>
  <si>
    <t>Security Development Lifecycle (SDL) - Design</t>
  </si>
  <si>
    <t>Attack surface analysis and reduction shall be performed and documented</t>
  </si>
  <si>
    <t>62443-4-1 SD-2
62443-4-1 SD-4
62443-4-1 SVV-3</t>
  </si>
  <si>
    <t>16.8</t>
  </si>
  <si>
    <t>Security Development Lifecycle (SDL) - Implementation</t>
  </si>
  <si>
    <t>The product shall be developed following commonly accepted and recommended security coding practices. The followed practices shall be documented.</t>
  </si>
  <si>
    <t>62443-4-1 SI-2</t>
  </si>
  <si>
    <t>16.9</t>
  </si>
  <si>
    <t>Static code analysis shall be performed on all new and changed code and shall specifically address security vulnerabilities.</t>
  </si>
  <si>
    <t>62443-4-1 SI-1</t>
  </si>
  <si>
    <t>16.10</t>
  </si>
  <si>
    <t>Static code analysis, binary code analysis, or both shall be performed on critical components. For such components, analysis shall not be limited to new and changed code, but shall include legacy code and 3rd party libraries as well.</t>
  </si>
  <si>
    <t>62443-4-1 SI-1
62443-4-1 SVV-3</t>
  </si>
  <si>
    <t>16.11</t>
  </si>
  <si>
    <t>Manual code review shall be performed on all new and changed code of critical components by an independent person and shall specifically address security vulnerabilities.</t>
  </si>
  <si>
    <t>101</t>
  </si>
  <si>
    <r>
      <t xml:space="preserve">• </t>
    </r>
    <r>
      <rPr>
        <b/>
        <sz val="11"/>
        <color theme="1"/>
        <rFont val="Calibri"/>
        <family val="2"/>
        <scheme val="minor"/>
      </rPr>
      <t>Exception granted:</t>
    </r>
    <r>
      <rPr>
        <sz val="11"/>
        <color theme="1"/>
        <rFont val="Calibri"/>
        <family val="2"/>
        <scheme val="minor"/>
      </rPr>
      <t xml:space="preserve"> the requirement, or part of it, is not fulfilled, but a formal exception to the Corporate Policy CFIS-CP-02 or a Default exception has been granted. Exception requests and approvals - and who can grant - are subject to defined processes. See https://go.insideplus.abb.com/corporate-functions/research-and-development/cyber-security/standards/exceptions</t>
    </r>
  </si>
  <si>
    <r>
      <t xml:space="preserve">• </t>
    </r>
    <r>
      <rPr>
        <b/>
        <sz val="11"/>
        <color theme="1"/>
        <rFont val="Calibri"/>
        <family val="2"/>
        <scheme val="minor"/>
      </rPr>
      <t>Supported</t>
    </r>
    <r>
      <rPr>
        <sz val="11"/>
        <color theme="1"/>
        <rFont val="Calibri"/>
        <family val="2"/>
        <scheme val="minor"/>
      </rPr>
      <t xml:space="preserve">: the requirement is considered fully fulfilled. </t>
    </r>
  </si>
  <si>
    <t>All requirements from IEC 62443 are itemized in the sense that more complex requirements are broken up into different pieces which the MCSR 2.0 project team considered atomic enough for an unambiguous assessment.</t>
  </si>
  <si>
    <r>
      <t>Column B (ID)</t>
    </r>
    <r>
      <rPr>
        <sz val="11"/>
        <color rgb="FF000000"/>
        <rFont val="Calibri"/>
        <family val="2"/>
        <scheme val="minor"/>
      </rPr>
      <t xml:space="preserve"> contains the numeric part of the requirement identifier from IEC 62443-4-2, i.e. in combination with the category (from column A) the entire identifier is composed. Note that for the itemization, the identifiers have been extended with an additional element (a, b, c, ...) to distinguish the parts of an itemized requirement.</t>
    </r>
  </si>
  <si>
    <r>
      <t>Column C (Requirement)</t>
    </r>
    <r>
      <rPr>
        <sz val="11"/>
        <color rgb="FF000000"/>
        <rFont val="Calibri"/>
        <family val="2"/>
        <scheme val="minor"/>
      </rPr>
      <t xml:space="preserve"> contain the actual, normative requirement statements from IEC 62443. The informative rationale is embedded as a note to the baseline requirements.</t>
    </r>
  </si>
  <si>
    <r>
      <t>ABB</t>
    </r>
    <r>
      <rPr>
        <sz val="11"/>
        <color rgb="FF000000"/>
        <rFont val="Calibri"/>
        <family val="2"/>
        <scheme val="minor"/>
      </rPr>
      <t xml:space="preserve"> =&gt; ABB specific requirements</t>
    </r>
    <r>
      <rPr>
        <b/>
        <sz val="11"/>
        <color rgb="FF000000"/>
        <rFont val="Calibri"/>
        <family val="2"/>
        <scheme val="minor"/>
      </rPr>
      <t xml:space="preserve">
</t>
    </r>
    <r>
      <rPr>
        <sz val="11"/>
        <color rgb="FF000000"/>
        <rFont val="Calibri"/>
        <family val="2"/>
        <scheme val="minor"/>
      </rPr>
      <t xml:space="preserve">There are a few minimum cyber security requirements which are ABB specific and which are not included in IEC 62443 and therefore cannot be expressed in IEC 62443 language. </t>
    </r>
  </si>
  <si>
    <t>ABB Guidance</t>
  </si>
  <si>
    <t>Product Team's Argument/Evidence</t>
  </si>
  <si>
    <r>
      <t>Column F (Product Team's Argument/Evidence)</t>
    </r>
    <r>
      <rPr>
        <sz val="11"/>
        <color rgb="FF000000"/>
        <rFont val="Calibri"/>
        <family val="2"/>
        <scheme val="minor"/>
      </rPr>
      <t xml:space="preserve"> should be filled in by the product development team/project under assessment and the information to be proveded is the evidence for requirement fulfillment. The expected levels of evidences are in two different categories:   For requirements that have the "Release" assessment interval (Column K), the evidence that should be provided are products artifacts from execution of the processes. Example of such artifacts are documented threat model, reviewed and approved product requirements, secure design etc. Please include the Doc. Reference (document number, revision, chapter).</t>
    </r>
  </si>
  <si>
    <t>Exception granted</t>
  </si>
  <si>
    <r>
      <t>•</t>
    </r>
    <r>
      <rPr>
        <b/>
        <sz val="11"/>
        <color theme="1"/>
        <rFont val="Calibri"/>
        <family val="2"/>
        <scheme val="minor"/>
      </rPr>
      <t xml:space="preserve"> Supported with restrictions</t>
    </r>
    <r>
      <rPr>
        <sz val="11"/>
        <color theme="1"/>
        <rFont val="Calibri"/>
        <family val="2"/>
        <scheme val="minor"/>
      </rPr>
      <t>: the requirement is considered only partly fulfilled. Additional work is needed to ensure full compliance.</t>
    </r>
  </si>
  <si>
    <r>
      <t xml:space="preserve">• </t>
    </r>
    <r>
      <rPr>
        <b/>
        <sz val="11"/>
        <color theme="1"/>
        <rFont val="Calibri"/>
        <family val="2"/>
        <scheme val="minor"/>
      </rPr>
      <t>Not supported:</t>
    </r>
    <r>
      <rPr>
        <sz val="11"/>
        <color theme="1"/>
        <rFont val="Calibri"/>
        <family val="2"/>
        <scheme val="minor"/>
      </rPr>
      <t xml:space="preserve"> the requirement is not fulfilled. Additional work is needed to ensure full compliance.</t>
    </r>
  </si>
  <si>
    <r>
      <t xml:space="preserve">• </t>
    </r>
    <r>
      <rPr>
        <b/>
        <sz val="11"/>
        <color theme="1"/>
        <rFont val="Calibri"/>
        <family val="2"/>
        <scheme val="minor"/>
      </rPr>
      <t>Not applicable:</t>
    </r>
    <r>
      <rPr>
        <sz val="11"/>
        <color theme="1"/>
        <rFont val="Calibri"/>
        <family val="2"/>
        <scheme val="minor"/>
      </rPr>
      <t xml:space="preserve"> the requirement is not considered applicable. Note: strong justifications are needed to consider a requirement as not applicable. Also, applicability shall only consider the scope of the element/solution under assessment with respect to the scope of the requirement. Applicability shall not be determined by roadmap choices.</t>
    </r>
  </si>
  <si>
    <t>Supported with restrictions</t>
  </si>
  <si>
    <t>Not applicable</t>
  </si>
  <si>
    <t>SR</t>
  </si>
  <si>
    <r>
      <rPr>
        <b/>
        <sz val="11"/>
        <color theme="1"/>
        <rFont val="Calibri"/>
        <family val="2"/>
        <scheme val="minor"/>
      </rPr>
      <t>Product security context</t>
    </r>
    <r>
      <rPr>
        <sz val="11"/>
        <color theme="1"/>
        <rFont val="Calibri"/>
        <family val="2"/>
        <scheme val="minor"/>
      </rPr>
      <t xml:space="preserve">
A process shall be employed to ensure that the intended product security context is documented.</t>
    </r>
  </si>
  <si>
    <t>This process is required to ensure that the minimum requirements of the environment and the assumptions about that environment are documented in order to achieve the security level for which the product was designed. The purpose of defining this information is so that both the developers of the product and the product users have the same understanding about how the product is intended to be used. This will help the developers make appropriate design decisions and the users to use the product as it was intended. Security context could include:
a) location in the network;
b) physical or cyber security provided by the environment where the product will be deployed;
c) isolation (from a network perspective); and
d) if known, potential impact to the environment (for example, loss of life, injury, loss of
production, etc.).
For example, it is important to document whether physical security is required. If no physical security is expected to be present, then that may add a number of related requirements such as not allowing pushbutton configuration on the product. Another example is if the product is expected to be protected by a user supplied firewall that connects it to the plant network, the product would typically not require a firewall of its own. Documenting these external security features for the product (its security context) allows developers to design a defense in depth strategy that complements this security context and testers to validate and verify the security of a product in an environment similar to how it should be deployed.
Having this process means that the deployment environment in which the product is intended to be used is correctly represented in all processes involved in the development and testing of this product and are documented.</t>
  </si>
  <si>
    <t>Security Requirements must include the description of the operating environment for any product developed by the team</t>
  </si>
  <si>
    <t>SD</t>
  </si>
  <si>
    <r>
      <rPr>
        <b/>
        <sz val="11"/>
        <color theme="1"/>
        <rFont val="Calibri"/>
        <family val="2"/>
        <scheme val="minor"/>
      </rPr>
      <t>Defense in depth design</t>
    </r>
    <r>
      <rPr>
        <sz val="11"/>
        <color theme="1"/>
        <rFont val="Calibri"/>
        <family val="2"/>
        <scheme val="minor"/>
      </rPr>
      <t xml:space="preserve">
A process shall be employed to implement multiple layers of defense using a risk based approach based on the threat model. This process shall be employed for assigning responsibilities to each layer of defense.
NOTE 1 Each layer provides additional defense mechanisms.
NOTE 2 It is possible for any layer to be compromised; therefore, secure design principles (see 7.2) are applied to each layer.
NOTE 3 The objective is to reduce the attack surface of the subsequent layers.</t>
    </r>
  </si>
  <si>
    <t>For example, the TCP/IP stack could check for invalid packets, an HTTP server could authenticate input and then another layer could validate that the input and audit logs are produced for administrative changes. Each layer provides an additional defense mechanism, has a responsibility and provides attack surface reduction for the next layer. Each layer assumes that the layer in front of it can be compromised.</t>
  </si>
  <si>
    <t xml:space="preserve">Defense in depth concept must be included as part of the design process or design guidelines.  Verify that a design methodology to determine which layers of defence are required is included in the process or required on a per project basis. </t>
  </si>
  <si>
    <t>SM</t>
  </si>
  <si>
    <t xml:space="preserve">Verify that a process for identifying which products (or parts or products) the security development life cycle applies.  Do some sample auditing to confirm that the process is being used on the products identified by this process.  </t>
  </si>
  <si>
    <r>
      <rPr>
        <b/>
        <sz val="11"/>
        <color theme="1"/>
        <rFont val="Calibri"/>
        <family val="2"/>
        <scheme val="minor"/>
      </rPr>
      <t>Identification of applicability</t>
    </r>
    <r>
      <rPr>
        <sz val="11"/>
        <color theme="1"/>
        <rFont val="Calibri"/>
        <family val="2"/>
        <scheme val="minor"/>
      </rPr>
      <t xml:space="preserve">
A process shall be employed for identifying products (or parts of products) to which this document applies.</t>
    </r>
  </si>
  <si>
    <t>This process is required to ensure that the processes in scope as part of this document are applied to the appropriate products as needed and that the correct level of detail is applied.
Having this process means that the product supplier has criteria for identifying which of its products are to be developed, maintained and supported using the processes required by this document. It is envisioned that a product supplier may apply this specification to selected products based on a number of factors, including the marketplace for which a product is intended and whether or not the product requires security to be built into the product and fully evaluated. As an example, certain products or components may not have a security context or provide anonymous access and therefore may not require security to be built into the product. An organization may also base the criteria on the particular features being developed to enhance a product for target markets as long as the common features for all markets remain subject to this standard. Organizations may also use criteria such as applicable security requirements or security risk.
These requirements may be applied to externally provided components or custom developed components from third party suppliers. See 5.11 and 5.12 for more details.</t>
  </si>
  <si>
    <t>Periodic</t>
  </si>
  <si>
    <t xml:space="preserve">   +  IEC 62443-4-1</t>
  </si>
  <si>
    <r>
      <rPr>
        <b/>
        <sz val="11"/>
        <color theme="1"/>
        <rFont val="Calibri"/>
        <family val="2"/>
        <scheme val="minor"/>
      </rPr>
      <t>Identification of responsibilities</t>
    </r>
    <r>
      <rPr>
        <sz val="11"/>
        <color theme="1"/>
        <rFont val="Calibri"/>
        <family val="2"/>
        <scheme val="minor"/>
      </rPr>
      <t xml:space="preserve">
A process shall be employed that identifies the organizational roles and personnel responsible
for each of the processes required by this document.</t>
    </r>
  </si>
  <si>
    <t>This process is required to ensure that responsibilities are assigned to elements of the
product supplier's organization for performing and completing the processes required by this document.
Having this process means that the product supplier's development, maintenance and product support processes required by this document each identify the organizational roles and personnel that are responsible for performing and completing them. The organization and personnel can be within the developer’s organization or external to it.
NOTE A responsible, accountable, consulted and informed (RACI) matrix is an example of a tool that could be used to meet this requirement.</t>
  </si>
  <si>
    <r>
      <rPr>
        <b/>
        <sz val="11"/>
        <color theme="1"/>
        <rFont val="Calibri"/>
        <family val="2"/>
        <scheme val="minor"/>
      </rPr>
      <t>Product development team to provide:</t>
    </r>
    <r>
      <rPr>
        <sz val="11"/>
        <color theme="1"/>
        <rFont val="Calibri"/>
        <family val="2"/>
        <scheme val="minor"/>
      </rPr>
      <t xml:space="preserve">
- Roles &amp; responsibilities document of project team under assessment as per ELSP MP 028 R&amp;D QMS process (RID#06).
For external certification:
- Document evidence for Organization chart (under audit) &amp; project team
- Document evidence for Project team member's competency assessment.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</si>
</sst>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0"/>
      <name val="Helv"/>
    </font>
    <font>
      <sz val="11"/>
      <name val="Calibri"/>
      <family val="2"/>
      <scheme val="minor"/>
    </font>
    <font>
      <sz val="8"/>
      <name val="Calibri"/>
      <family val="2"/>
      <scheme val="minor"/>
    </font>
    <font>
      <sz val="10"/>
      <name val="Arial"/>
      <family val="2"/>
    </font>
    <font>
      <i/>
      <sz val="11"/>
      <color theme="1"/>
      <name val="Calibri"/>
      <family val="2"/>
      <scheme val="minor"/>
    </font>
    <font>
      <b/>
      <i/>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0"/>
      <color theme="1"/>
      <name val="Calibri"/>
      <family val="2"/>
      <scheme val="minor"/>
    </font>
    <font>
      <sz val="11"/>
      <color rgb="FF000000"/>
      <name val="Calibri"/>
      <family val="2"/>
      <scheme val="minor"/>
    </font>
    <font>
      <u/>
      <sz val="11"/>
      <color theme="10"/>
      <name val="Calibri"/>
      <family val="2"/>
      <scheme val="minor"/>
    </font>
    <font>
      <b/>
      <sz val="11"/>
      <color rgb="FF000000"/>
      <name val="Calibri"/>
      <family val="2"/>
      <scheme val="minor"/>
    </font>
    <font>
      <u/>
      <sz val="11"/>
      <name val="Calibri"/>
      <family val="2"/>
      <scheme val="minor"/>
    </font>
    <font>
      <b/>
      <sz val="11"/>
      <name val="Calibri"/>
      <family val="2"/>
      <scheme val="minor"/>
    </font>
    <font>
      <sz val="11"/>
      <color theme="0"/>
      <name val="Calibri"/>
      <family val="2"/>
      <scheme val="minor"/>
    </font>
  </fonts>
  <fills count="1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24994659260841701"/>
        <bgColor indexed="64"/>
      </patternFill>
    </fill>
    <fill>
      <patternFill patternType="solid">
        <fgColor theme="5" tint="0.79998168889431442"/>
        <bgColor indexed="64"/>
      </patternFill>
    </fill>
    <fill>
      <patternFill patternType="solid">
        <fgColor rgb="FFFFE5E5"/>
        <bgColor indexed="64"/>
      </patternFill>
    </fill>
    <fill>
      <patternFill patternType="solid">
        <fgColor them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s>
  <borders count="8">
    <border>
      <left/>
      <right/>
      <top/>
      <bottom/>
      <diagonal/>
    </border>
    <border>
      <left style="thin">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s>
  <cellStyleXfs count="8">
    <xf numFmtId="0" fontId="0" fillId="0" borderId="0"/>
    <xf numFmtId="0" fontId="2" fillId="0" borderId="0"/>
    <xf numFmtId="0" fontId="5" fillId="0" borderId="0"/>
    <xf numFmtId="0" fontId="5" fillId="0" borderId="0"/>
    <xf numFmtId="0" fontId="8" fillId="12"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3" fillId="0" borderId="0" applyNumberFormat="0" applyFill="0" applyBorder="0" applyAlignment="0" applyProtection="0"/>
  </cellStyleXfs>
  <cellXfs count="129">
    <xf numFmtId="0" fontId="0" fillId="0" borderId="0" xfId="0"/>
    <xf numFmtId="49" fontId="1" fillId="0" borderId="0" xfId="0" applyNumberFormat="1" applyFont="1"/>
    <xf numFmtId="49" fontId="0" fillId="0" borderId="0" xfId="0" applyNumberFormat="1"/>
    <xf numFmtId="2" fontId="0" fillId="0" borderId="0" xfId="0" applyNumberFormat="1"/>
    <xf numFmtId="1" fontId="0" fillId="0" borderId="0" xfId="0" applyNumberFormat="1"/>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0" borderId="0" xfId="0" applyAlignment="1">
      <alignment horizontal="right"/>
    </xf>
    <xf numFmtId="0" fontId="0" fillId="5" borderId="0" xfId="0" applyFill="1" applyAlignment="1">
      <alignment vertical="top"/>
    </xf>
    <xf numFmtId="0" fontId="0" fillId="5" borderId="0" xfId="0" applyFill="1" applyAlignment="1">
      <alignment vertical="top" wrapText="1"/>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left" vertical="center"/>
    </xf>
    <xf numFmtId="49" fontId="0" fillId="0" borderId="0" xfId="0" quotePrefix="1" applyNumberFormat="1"/>
    <xf numFmtId="49" fontId="0" fillId="7" borderId="0" xfId="0" applyNumberFormat="1" applyFill="1" applyAlignment="1">
      <alignment horizontal="left" vertical="top" wrapText="1"/>
    </xf>
    <xf numFmtId="0" fontId="0" fillId="9" borderId="0" xfId="0" applyFill="1" applyAlignment="1">
      <alignment wrapText="1"/>
    </xf>
    <xf numFmtId="49" fontId="0" fillId="7" borderId="1" xfId="0" applyNumberFormat="1" applyFill="1" applyBorder="1" applyAlignment="1">
      <alignment horizontal="left" vertical="top" wrapText="1"/>
    </xf>
    <xf numFmtId="49" fontId="0" fillId="0" borderId="2" xfId="0" applyNumberFormat="1" applyBorder="1"/>
    <xf numFmtId="49" fontId="0" fillId="0" borderId="3" xfId="0" applyNumberFormat="1" applyBorder="1"/>
    <xf numFmtId="49" fontId="0" fillId="10" borderId="2" xfId="0" applyNumberFormat="1" applyFill="1" applyBorder="1"/>
    <xf numFmtId="49" fontId="0" fillId="10" borderId="0" xfId="0" applyNumberFormat="1" applyFill="1" applyAlignment="1">
      <alignment wrapText="1"/>
    </xf>
    <xf numFmtId="49" fontId="0" fillId="10" borderId="0" xfId="0" applyNumberFormat="1" applyFill="1"/>
    <xf numFmtId="49" fontId="0" fillId="10" borderId="3" xfId="0" applyNumberFormat="1" applyFill="1" applyBorder="1"/>
    <xf numFmtId="0" fontId="0" fillId="9" borderId="0" xfId="0" applyFill="1" applyAlignment="1">
      <alignment horizontal="left" vertical="top" wrapText="1"/>
    </xf>
    <xf numFmtId="49" fontId="0" fillId="10" borderId="3" xfId="0" applyNumberFormat="1" applyFill="1" applyBorder="1" applyAlignment="1">
      <alignment wrapText="1"/>
    </xf>
    <xf numFmtId="0" fontId="0" fillId="0" borderId="3" xfId="0" applyBorder="1"/>
    <xf numFmtId="0" fontId="0" fillId="0" borderId="2" xfId="0" applyBorder="1"/>
    <xf numFmtId="0" fontId="0" fillId="0" borderId="5" xfId="0" applyBorder="1"/>
    <xf numFmtId="49" fontId="0" fillId="0" borderId="5" xfId="0" applyNumberFormat="1" applyBorder="1"/>
    <xf numFmtId="0" fontId="0" fillId="0" borderId="6" xfId="0" applyBorder="1"/>
    <xf numFmtId="49" fontId="0" fillId="0" borderId="6" xfId="0" applyNumberFormat="1" applyBorder="1"/>
    <xf numFmtId="49" fontId="0" fillId="10" borderId="6" xfId="0" applyNumberFormat="1" applyFill="1" applyBorder="1"/>
    <xf numFmtId="0" fontId="0" fillId="10" borderId="0" xfId="0" applyFill="1" applyAlignment="1">
      <alignment wrapText="1"/>
    </xf>
    <xf numFmtId="0" fontId="0" fillId="10" borderId="2" xfId="0" applyFill="1" applyBorder="1"/>
    <xf numFmtId="0" fontId="0" fillId="10" borderId="3" xfId="0" applyFill="1" applyBorder="1" applyAlignment="1">
      <alignment wrapText="1"/>
    </xf>
    <xf numFmtId="2" fontId="0" fillId="0" borderId="0" xfId="0" applyNumberFormat="1" applyAlignment="1">
      <alignment horizontal="center"/>
    </xf>
    <xf numFmtId="1" fontId="0" fillId="0" borderId="5" xfId="0" applyNumberFormat="1" applyBorder="1" applyAlignment="1">
      <alignment horizontal="center"/>
    </xf>
    <xf numFmtId="2" fontId="0" fillId="0" borderId="5" xfId="0" applyNumberFormat="1" applyBorder="1" applyAlignment="1">
      <alignment horizontal="center"/>
    </xf>
    <xf numFmtId="0" fontId="0" fillId="0" borderId="0" xfId="0" applyAlignment="1">
      <alignment horizontal="center"/>
    </xf>
    <xf numFmtId="2" fontId="0" fillId="0" borderId="5" xfId="0" applyNumberFormat="1" applyBorder="1"/>
    <xf numFmtId="0" fontId="0" fillId="0" borderId="4" xfId="0" applyBorder="1"/>
    <xf numFmtId="0" fontId="0" fillId="6" borderId="0" xfId="0" applyFill="1"/>
    <xf numFmtId="0" fontId="0" fillId="0" borderId="0" xfId="0" quotePrefix="1"/>
    <xf numFmtId="0" fontId="0" fillId="0" borderId="7" xfId="0" applyBorder="1" applyAlignment="1">
      <alignment horizontal="left"/>
    </xf>
    <xf numFmtId="0" fontId="0" fillId="0" borderId="4" xfId="0" applyBorder="1" applyAlignment="1">
      <alignment horizontal="left"/>
    </xf>
    <xf numFmtId="0" fontId="0" fillId="11" borderId="0" xfId="0" applyFill="1"/>
    <xf numFmtId="2" fontId="3" fillId="0" borderId="6" xfId="0" applyNumberFormat="1" applyFont="1" applyBorder="1" applyProtection="1">
      <protection hidden="1"/>
    </xf>
    <xf numFmtId="0" fontId="1" fillId="0" borderId="0" xfId="0" applyFont="1" applyAlignment="1">
      <alignment wrapText="1"/>
    </xf>
    <xf numFmtId="49" fontId="0" fillId="0" borderId="0" xfId="0" applyNumberFormat="1" applyAlignment="1">
      <alignment wrapText="1"/>
    </xf>
    <xf numFmtId="49" fontId="0" fillId="0" borderId="2" xfId="0" applyNumberFormat="1" applyBorder="1" applyAlignment="1">
      <alignment wrapText="1"/>
    </xf>
    <xf numFmtId="49" fontId="0" fillId="8" borderId="3" xfId="0" applyNumberFormat="1" applyFill="1" applyBorder="1" applyAlignment="1">
      <alignment wrapText="1"/>
    </xf>
    <xf numFmtId="49" fontId="0" fillId="9" borderId="0" xfId="0" applyNumberFormat="1" applyFill="1" applyAlignment="1">
      <alignment wrapText="1"/>
    </xf>
    <xf numFmtId="0" fontId="0" fillId="0" borderId="2" xfId="0" applyBorder="1" applyAlignment="1">
      <alignment wrapText="1"/>
    </xf>
    <xf numFmtId="0" fontId="0" fillId="8" borderId="3" xfId="0" applyFill="1" applyBorder="1" applyAlignment="1">
      <alignment wrapText="1"/>
    </xf>
    <xf numFmtId="0" fontId="0" fillId="8" borderId="0" xfId="0" applyFill="1" applyAlignment="1">
      <alignment wrapText="1"/>
    </xf>
    <xf numFmtId="2" fontId="0" fillId="0" borderId="0" xfId="0" applyNumberFormat="1" applyAlignment="1">
      <alignment wrapText="1"/>
    </xf>
    <xf numFmtId="0" fontId="0" fillId="0" borderId="5" xfId="0" applyBorder="1" applyAlignment="1">
      <alignment wrapText="1"/>
    </xf>
    <xf numFmtId="49" fontId="0" fillId="0" borderId="5" xfId="0" applyNumberFormat="1" applyBorder="1" applyAlignment="1">
      <alignment wrapText="1"/>
    </xf>
    <xf numFmtId="0" fontId="0" fillId="10" borderId="0" xfId="0" applyFill="1" applyAlignment="1">
      <alignment vertical="top" wrapText="1"/>
    </xf>
    <xf numFmtId="0" fontId="0" fillId="0" borderId="5" xfId="0" applyBorder="1" applyAlignment="1">
      <alignment vertical="top" wrapText="1"/>
    </xf>
    <xf numFmtId="0" fontId="0" fillId="10" borderId="2" xfId="0" applyFill="1" applyBorder="1" applyAlignment="1">
      <alignment vertical="top" wrapText="1"/>
    </xf>
    <xf numFmtId="49" fontId="0" fillId="10" borderId="3" xfId="0" applyNumberFormat="1" applyFill="1" applyBorder="1" applyAlignment="1">
      <alignment vertical="top" wrapText="1"/>
    </xf>
    <xf numFmtId="49" fontId="0" fillId="10" borderId="0" xfId="0" applyNumberFormat="1" applyFill="1" applyAlignment="1">
      <alignment vertical="top" wrapText="1"/>
    </xf>
    <xf numFmtId="49" fontId="0" fillId="10" borderId="2" xfId="0" applyNumberFormat="1" applyFill="1" applyBorder="1" applyAlignment="1">
      <alignment vertical="top" wrapText="1"/>
    </xf>
    <xf numFmtId="49" fontId="1" fillId="0" borderId="0" xfId="0" applyNumberFormat="1" applyFont="1" applyAlignment="1">
      <alignment vertical="top"/>
    </xf>
    <xf numFmtId="0" fontId="0" fillId="0" borderId="5" xfId="0" applyBorder="1" applyAlignment="1">
      <alignment vertical="top"/>
    </xf>
    <xf numFmtId="0" fontId="0" fillId="0" borderId="2" xfId="0" applyBorder="1" applyAlignment="1">
      <alignment vertical="top"/>
    </xf>
    <xf numFmtId="49" fontId="0" fillId="10" borderId="2" xfId="0" applyNumberFormat="1" applyFill="1" applyBorder="1" applyAlignment="1">
      <alignment vertical="top"/>
    </xf>
    <xf numFmtId="0" fontId="0" fillId="0" borderId="3" xfId="0" applyBorder="1" applyAlignment="1">
      <alignment vertical="top"/>
    </xf>
    <xf numFmtId="49" fontId="0" fillId="0" borderId="3" xfId="0" applyNumberFormat="1" applyBorder="1" applyAlignment="1">
      <alignment vertical="top"/>
    </xf>
    <xf numFmtId="49" fontId="0" fillId="10" borderId="0" xfId="0" applyNumberFormat="1" applyFill="1" applyAlignment="1">
      <alignment vertical="top"/>
    </xf>
    <xf numFmtId="0" fontId="0" fillId="0" borderId="5" xfId="0" applyBorder="1" applyAlignment="1">
      <alignment horizontal="left" wrapText="1"/>
    </xf>
    <xf numFmtId="0" fontId="0" fillId="0" borderId="0" xfId="0" applyAlignment="1">
      <alignment horizontal="left"/>
    </xf>
    <xf numFmtId="0" fontId="0" fillId="0" borderId="5" xfId="0" applyBorder="1" applyAlignment="1">
      <alignment horizontal="left" vertical="top" wrapText="1"/>
    </xf>
    <xf numFmtId="0" fontId="0" fillId="0" borderId="0" xfId="0" applyAlignment="1">
      <alignment horizontal="left" vertical="top"/>
    </xf>
    <xf numFmtId="2" fontId="0" fillId="0" borderId="0" xfId="0" applyNumberFormat="1" applyAlignment="1">
      <alignment vertical="top" wrapText="1"/>
    </xf>
    <xf numFmtId="49" fontId="0" fillId="0" borderId="5" xfId="0" applyNumberFormat="1" applyBorder="1" applyAlignment="1">
      <alignment vertical="top"/>
    </xf>
    <xf numFmtId="49" fontId="0" fillId="9" borderId="0" xfId="0" applyNumberFormat="1" applyFill="1" applyAlignment="1">
      <alignment vertical="top" wrapText="1"/>
    </xf>
    <xf numFmtId="49" fontId="0" fillId="10" borderId="3" xfId="0" applyNumberFormat="1" applyFill="1" applyBorder="1" applyAlignment="1">
      <alignment vertical="top"/>
    </xf>
    <xf numFmtId="49" fontId="0" fillId="8" borderId="3" xfId="0" applyNumberFormat="1" applyFill="1" applyBorder="1" applyAlignment="1">
      <alignment vertical="top" wrapText="1"/>
    </xf>
    <xf numFmtId="0" fontId="0" fillId="10" borderId="2" xfId="0" applyFill="1" applyBorder="1" applyAlignment="1">
      <alignment vertical="top"/>
    </xf>
    <xf numFmtId="0" fontId="0" fillId="9" borderId="0" xfId="0" applyFill="1" applyAlignment="1">
      <alignment vertical="top" wrapText="1"/>
    </xf>
    <xf numFmtId="0" fontId="0" fillId="0" borderId="2" xfId="0" applyBorder="1" applyAlignment="1">
      <alignment vertical="top" wrapText="1"/>
    </xf>
    <xf numFmtId="0" fontId="0" fillId="8" borderId="3" xfId="0" applyFill="1" applyBorder="1" applyAlignment="1">
      <alignment vertical="top" wrapText="1"/>
    </xf>
    <xf numFmtId="0" fontId="0" fillId="10" borderId="3" xfId="0" applyFill="1" applyBorder="1" applyAlignment="1">
      <alignment vertical="top" wrapText="1"/>
    </xf>
    <xf numFmtId="2" fontId="0" fillId="0" borderId="0" xfId="0" applyNumberFormat="1" applyAlignment="1">
      <alignment vertical="top"/>
    </xf>
    <xf numFmtId="49" fontId="8" fillId="12" borderId="0" xfId="4" applyNumberFormat="1"/>
    <xf numFmtId="49" fontId="10" fillId="14" borderId="0" xfId="6" applyNumberFormat="1" applyAlignment="1">
      <alignment wrapText="1"/>
    </xf>
    <xf numFmtId="49" fontId="8" fillId="12" borderId="0" xfId="4" applyNumberFormat="1" applyAlignment="1">
      <alignment vertical="top" wrapText="1"/>
    </xf>
    <xf numFmtId="49" fontId="10" fillId="14" borderId="0" xfId="6" applyNumberFormat="1" applyAlignment="1">
      <alignment vertical="top" wrapText="1"/>
    </xf>
    <xf numFmtId="0" fontId="10" fillId="14" borderId="0" xfId="6"/>
    <xf numFmtId="0" fontId="8" fillId="12" borderId="0" xfId="4"/>
    <xf numFmtId="0" fontId="10" fillId="14" borderId="0" xfId="6" applyAlignment="1">
      <alignment wrapText="1"/>
    </xf>
    <xf numFmtId="0" fontId="9" fillId="13" borderId="0" xfId="5"/>
    <xf numFmtId="0" fontId="8" fillId="12" borderId="0" xfId="4" applyAlignment="1">
      <alignment wrapText="1"/>
    </xf>
    <xf numFmtId="2" fontId="8" fillId="12" borderId="0" xfId="4" applyNumberFormat="1" applyAlignment="1">
      <alignment wrapText="1"/>
    </xf>
    <xf numFmtId="0" fontId="8" fillId="12" borderId="0" xfId="4" applyAlignment="1">
      <alignment vertical="top" wrapText="1"/>
    </xf>
    <xf numFmtId="0" fontId="10" fillId="14" borderId="0" xfId="6" applyAlignment="1">
      <alignment vertical="top"/>
    </xf>
    <xf numFmtId="0" fontId="10" fillId="14" borderId="0" xfId="6" applyAlignment="1">
      <alignment vertical="top" wrapText="1"/>
    </xf>
    <xf numFmtId="1" fontId="0" fillId="0" borderId="0" xfId="0" applyNumberFormat="1" applyAlignment="1">
      <alignment vertical="top"/>
    </xf>
    <xf numFmtId="0" fontId="1" fillId="0" borderId="0" xfId="0" applyFont="1"/>
    <xf numFmtId="2" fontId="0" fillId="0" borderId="0" xfId="0" applyNumberFormat="1" applyAlignment="1">
      <alignment horizontal="left" vertical="top"/>
    </xf>
    <xf numFmtId="49" fontId="0" fillId="0" borderId="0" xfId="0" applyNumberFormat="1" applyAlignment="1">
      <alignment horizontal="left" vertical="top" wrapText="1"/>
    </xf>
    <xf numFmtId="49" fontId="0" fillId="0" borderId="0" xfId="0" applyNumberFormat="1" applyAlignment="1">
      <alignment horizontal="left" vertical="top"/>
    </xf>
    <xf numFmtId="2" fontId="0" fillId="0" borderId="0" xfId="0" applyNumberFormat="1" applyAlignment="1">
      <alignment horizontal="left" vertical="top" wrapText="1"/>
    </xf>
    <xf numFmtId="49" fontId="12" fillId="0" borderId="0" xfId="0" applyNumberFormat="1" applyFont="1" applyAlignment="1">
      <alignment vertical="top" wrapText="1"/>
    </xf>
    <xf numFmtId="0" fontId="12" fillId="0" borderId="0" xfId="0" applyFont="1" applyAlignment="1">
      <alignment wrapText="1"/>
    </xf>
    <xf numFmtId="0" fontId="14" fillId="0" borderId="0" xfId="0" applyFont="1" applyAlignment="1">
      <alignment wrapText="1"/>
    </xf>
    <xf numFmtId="49" fontId="15" fillId="0" borderId="0" xfId="7" applyNumberFormat="1" applyFont="1" applyAlignment="1">
      <alignment vertical="top" wrapText="1"/>
    </xf>
    <xf numFmtId="1" fontId="0" fillId="0" borderId="0" xfId="0" applyNumberFormat="1" applyAlignment="1">
      <alignment horizontal="center" vertical="top" wrapText="1"/>
    </xf>
    <xf numFmtId="49" fontId="0" fillId="0" borderId="0" xfId="0" applyNumberFormat="1" applyAlignment="1" applyProtection="1">
      <alignment vertical="top" wrapText="1"/>
      <protection locked="0"/>
    </xf>
    <xf numFmtId="0" fontId="13" fillId="0" borderId="0" xfId="7"/>
    <xf numFmtId="0" fontId="1" fillId="0" borderId="0" xfId="0" applyFont="1" applyAlignment="1">
      <alignment horizontal="left" vertical="top" wrapText="1"/>
    </xf>
    <xf numFmtId="0" fontId="14" fillId="0" borderId="0" xfId="0" applyFont="1" applyAlignment="1">
      <alignment vertical="top" wrapText="1"/>
    </xf>
    <xf numFmtId="0" fontId="12" fillId="0" borderId="0" xfId="0" applyFont="1" applyAlignment="1">
      <alignment vertical="top" wrapText="1"/>
    </xf>
    <xf numFmtId="0" fontId="1" fillId="0" borderId="0" xfId="0" applyFont="1" applyAlignment="1">
      <alignment vertical="top" wrapText="1"/>
    </xf>
    <xf numFmtId="0" fontId="16"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xf>
    <xf numFmtId="49" fontId="17" fillId="0" borderId="0" xfId="0" applyNumberFormat="1" applyFont="1" applyAlignment="1" applyProtection="1">
      <alignment vertical="top" wrapText="1"/>
      <protection locked="0"/>
    </xf>
    <xf numFmtId="49" fontId="0" fillId="6" borderId="0" xfId="0" applyNumberFormat="1" applyFill="1" applyAlignment="1">
      <alignment horizontal="left" vertical="top"/>
    </xf>
    <xf numFmtId="49" fontId="0" fillId="6" borderId="0" xfId="0" applyNumberFormat="1" applyFill="1" applyAlignment="1">
      <alignment horizontal="left" vertical="top" wrapText="1"/>
    </xf>
    <xf numFmtId="49" fontId="0" fillId="10" borderId="0" xfId="0" applyNumberFormat="1" applyFill="1" applyAlignment="1">
      <alignment horizontal="left" vertical="top"/>
    </xf>
    <xf numFmtId="0" fontId="1" fillId="0" borderId="0" xfId="0" applyFont="1" applyAlignment="1">
      <alignment horizontal="left" vertical="top" wrapText="1"/>
    </xf>
    <xf numFmtId="49" fontId="0" fillId="0" borderId="0" xfId="0" quotePrefix="1" applyNumberFormat="1" applyAlignment="1">
      <alignment vertical="top" wrapText="1"/>
    </xf>
  </cellXfs>
  <cellStyles count="8">
    <cellStyle name="Bad" xfId="5" builtinId="27"/>
    <cellStyle name="Good" xfId="4" builtinId="26"/>
    <cellStyle name="Hyperlink" xfId="7" builtinId="8"/>
    <cellStyle name="Neutral" xfId="6" builtinId="28"/>
    <cellStyle name="Normal" xfId="0" builtinId="0"/>
    <cellStyle name="Normal 2" xfId="1" xr:uid="{00000000-0005-0000-0000-000001000000}"/>
    <cellStyle name="Normal 3" xfId="3" xr:uid="{3EC94161-5F8B-4414-99A3-AF582EFF0EA0}"/>
    <cellStyle name="Normal 4" xfId="2" xr:uid="{B4A006E5-32E3-4EE1-A99B-17F774E9DB46}"/>
  </cellStyles>
  <dxfs count="585">
    <dxf>
      <fill>
        <patternFill>
          <bgColor rgb="FFFF0000"/>
        </patternFill>
      </fill>
    </dxf>
    <dxf>
      <fill>
        <patternFill>
          <bgColor rgb="FFFFFF00"/>
        </patternFill>
      </fill>
    </dxf>
    <dxf>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FF0000"/>
        </patternFill>
      </fill>
    </dxf>
    <dxf>
      <fill>
        <patternFill>
          <bgColor rgb="FFFFFF00"/>
        </patternFill>
      </fill>
    </dxf>
    <dxf>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FF0000"/>
        </patternFill>
      </fill>
    </dxf>
    <dxf>
      <fill>
        <patternFill>
          <bgColor rgb="FFFFFF00"/>
        </patternFill>
      </fill>
    </dxf>
    <dxf>
      <fill>
        <patternFill>
          <bgColor rgb="FF00B050"/>
        </patternFill>
      </fill>
    </dxf>
    <dxf>
      <font>
        <b val="0"/>
        <i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FF0000"/>
        </patternFill>
      </fill>
    </dxf>
    <dxf>
      <fill>
        <patternFill>
          <bgColor rgb="FFFFFF00"/>
        </patternFill>
      </fill>
    </dxf>
    <dxf>
      <fill>
        <patternFill>
          <bgColor rgb="FF00B050"/>
        </patternFill>
      </fill>
    </dxf>
    <dxf>
      <font>
        <b val="0"/>
        <i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FF0000"/>
        </patternFill>
      </fill>
    </dxf>
    <dxf>
      <fill>
        <patternFill>
          <bgColor rgb="FFFFFF00"/>
        </patternFill>
      </fill>
    </dxf>
    <dxf>
      <fill>
        <patternFill>
          <bgColor rgb="FF00B050"/>
        </patternFill>
      </fill>
    </dxf>
    <dxf>
      <font>
        <b val="0"/>
        <i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FF0000"/>
        </patternFill>
      </fill>
    </dxf>
    <dxf>
      <fill>
        <patternFill>
          <bgColor rgb="FFFFFF00"/>
        </patternFill>
      </fill>
    </dxf>
    <dxf>
      <fill>
        <patternFill>
          <bgColor rgb="FF00B050"/>
        </patternFill>
      </fill>
    </dxf>
    <dxf>
      <font>
        <b val="0"/>
        <i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FF0000"/>
        </patternFill>
      </fill>
    </dxf>
    <dxf>
      <fill>
        <patternFill>
          <bgColor rgb="FFFFFF00"/>
        </patternFill>
      </fill>
    </dxf>
    <dxf>
      <fill>
        <patternFill>
          <bgColor rgb="FF00B050"/>
        </patternFill>
      </fill>
    </dxf>
    <dxf>
      <font>
        <b val="0"/>
        <i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FF0000"/>
        </patternFill>
      </fill>
    </dxf>
    <dxf>
      <fill>
        <patternFill>
          <bgColor rgb="FFFFFF00"/>
        </patternFill>
      </fill>
    </dxf>
    <dxf>
      <fill>
        <patternFill>
          <bgColor rgb="FF00B050"/>
        </patternFill>
      </fill>
    </dxf>
    <dxf>
      <font>
        <b val="0"/>
        <i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FF0000"/>
        </patternFill>
      </fill>
    </dxf>
    <dxf>
      <fill>
        <patternFill>
          <bgColor rgb="FFFFFF00"/>
        </patternFill>
      </fill>
    </dxf>
    <dxf>
      <fill>
        <patternFill>
          <bgColor rgb="FF00B050"/>
        </patternFill>
      </fill>
    </dxf>
    <dxf>
      <font>
        <b val="0"/>
        <i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FF0000"/>
        </patternFill>
      </fill>
    </dxf>
    <dxf>
      <fill>
        <patternFill>
          <bgColor rgb="FFFFFF00"/>
        </patternFill>
      </fill>
    </dxf>
    <dxf>
      <fill>
        <patternFill>
          <bgColor rgb="FF00B050"/>
        </patternFill>
      </fill>
    </dxf>
    <dxf>
      <font>
        <b val="0"/>
        <i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ont>
        <b val="0"/>
        <i val="0"/>
        <strike val="0"/>
      </font>
      <fill>
        <patternFill>
          <bgColor rgb="FFFF0000"/>
        </patternFill>
      </fill>
    </dxf>
    <dxf>
      <font>
        <b val="0"/>
        <i val="0"/>
      </font>
      <fill>
        <patternFill>
          <bgColor rgb="FFFFFF00"/>
        </patternFill>
      </fill>
    </dxf>
    <dxf>
      <font>
        <b val="0"/>
        <i val="0"/>
        <strike val="0"/>
      </font>
      <fill>
        <patternFill>
          <bgColor rgb="FF00B050"/>
        </patternFill>
      </fill>
    </dxf>
    <dxf>
      <fill>
        <patternFill>
          <bgColor rgb="FF00B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00B050"/>
        </patternFill>
      </fill>
    </dxf>
    <dxf>
      <numFmt numFmtId="30" formatCode="@"/>
      <alignment horizontal="general" vertical="top" textRotation="0" wrapText="1" indent="0" justifyLastLine="0" shrinkToFit="0" readingOrder="0"/>
    </dxf>
    <dxf>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0" formatCode="General"/>
      <alignment horizontal="left" vertical="top" textRotation="0" wrapText="0" indent="0" justifyLastLine="0" shrinkToFit="0" readingOrder="0"/>
    </dxf>
    <dxf>
      <numFmt numFmtId="30" formatCode="@"/>
      <fill>
        <patternFill patternType="solid">
          <fgColor indexed="64"/>
          <bgColor theme="5" tint="0.79998168889431442"/>
        </patternFill>
      </fill>
      <alignment horizontal="general" vertical="top" textRotation="0" wrapText="1" indent="0" justifyLastLine="0" shrinkToFit="0" readingOrder="0"/>
      <protection locked="0" hidden="0"/>
    </dxf>
    <dxf>
      <numFmt numFmtId="30" formatCode="@"/>
      <alignment horizontal="general" vertical="top" textRotation="0" wrapText="1" indent="0" justifyLastLine="0" shrinkToFit="0" readingOrder="0"/>
      <protection locked="0" hidden="0"/>
    </dxf>
    <dxf>
      <numFmt numFmtId="30" formatCode="@"/>
      <fill>
        <patternFill patternType="solid">
          <fgColor indexed="64"/>
          <bgColor rgb="FFFFE5E5"/>
        </patternFill>
      </fill>
      <alignment horizontal="general" vertical="top" textRotation="0" wrapText="1" indent="0" justifyLastLine="0" shrinkToFit="0" readingOrder="0"/>
      <protection locked="0" hidden="0"/>
    </dxf>
    <dxf>
      <numFmt numFmtId="30" formatCode="@"/>
      <alignment horizontal="general" vertical="top" textRotation="0" wrapText="1" indent="0" justifyLastLine="0" shrinkToFit="0" readingOrder="0"/>
      <protection locked="0" hidden="0"/>
    </dxf>
    <dxf>
      <numFmt numFmtId="30" formatCode="@"/>
      <fill>
        <patternFill patternType="solid">
          <fgColor indexed="64"/>
          <bgColor rgb="FFFFE5E5"/>
        </patternFill>
      </fill>
      <alignment horizontal="general" vertical="top" textRotation="0" wrapText="1" indent="0" justifyLastLine="0" shrinkToFit="0" readingOrder="0"/>
    </dxf>
    <dxf>
      <numFmt numFmtId="30" formatCode="@"/>
      <fill>
        <patternFill patternType="solid">
          <fgColor indexed="64"/>
          <bgColor theme="2"/>
        </patternFill>
      </fill>
      <alignment horizontal="general" vertical="top" textRotation="0" wrapText="1" indent="0" justifyLastLine="0" shrinkToFit="0" readingOrder="0"/>
    </dxf>
    <dxf>
      <numFmt numFmtId="30" formatCode="@"/>
      <fill>
        <patternFill patternType="solid">
          <fgColor indexed="64"/>
          <bgColor theme="2"/>
        </patternFill>
      </fill>
      <alignment horizontal="left" vertical="top" textRotation="0" wrapText="0" indent="0" justifyLastLine="0" shrinkToFit="0" readingOrder="0"/>
    </dxf>
    <dxf>
      <numFmt numFmtId="30" formatCode="@"/>
      <alignment horizontal="general" vertical="top" textRotation="0" wrapText="0" indent="0" justifyLastLine="0" shrinkToFit="0" readingOrder="0"/>
    </dxf>
    <dxf>
      <alignment horizontal="general" vertical="top" textRotation="0" wrapText="0" indent="0" justifyLastLine="0" shrinkToFit="0" readingOrder="0"/>
    </dxf>
    <dxf>
      <numFmt numFmtId="1" formatCode="0"/>
      <alignment horizontal="center" vertical="top" textRotation="0" wrapText="0" indent="0" justifyLastLine="0" shrinkToFit="0" readingOrder="0"/>
    </dxf>
  </dxfs>
  <tableStyles count="0" defaultTableStyle="TableStyleMedium2" defaultPivotStyle="PivotStyleLight16"/>
  <colors>
    <mruColors>
      <color rgb="FFFFE5E5"/>
      <color rgb="FFFFB3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oneCellAnchor>
    <xdr:from>
      <xdr:col>1</xdr:col>
      <xdr:colOff>2867024</xdr:colOff>
      <xdr:row>15</xdr:row>
      <xdr:rowOff>142876</xdr:rowOff>
    </xdr:from>
    <xdr:ext cx="9369968" cy="1584872"/>
    <xdr:sp macro="" textlink="">
      <xdr:nvSpPr>
        <xdr:cNvPr id="2" name="Rectangle 1">
          <a:extLst>
            <a:ext uri="{FF2B5EF4-FFF2-40B4-BE49-F238E27FC236}">
              <a16:creationId xmlns:a16="http://schemas.microsoft.com/office/drawing/2014/main" id="{A1126767-7AD0-4532-9EDC-4E0AF6795C1C}"/>
            </a:ext>
          </a:extLst>
        </xdr:cNvPr>
        <xdr:cNvSpPr/>
      </xdr:nvSpPr>
      <xdr:spPr>
        <a:xfrm rot="19675542">
          <a:off x="4048124" y="3790951"/>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12</xdr:col>
      <xdr:colOff>412751</xdr:colOff>
      <xdr:row>31</xdr:row>
      <xdr:rowOff>285751</xdr:rowOff>
    </xdr:from>
    <xdr:ext cx="9369968" cy="1584872"/>
    <xdr:sp macro="" textlink="">
      <xdr:nvSpPr>
        <xdr:cNvPr id="2" name="Rectangle 1">
          <a:extLst>
            <a:ext uri="{FF2B5EF4-FFF2-40B4-BE49-F238E27FC236}">
              <a16:creationId xmlns:a16="http://schemas.microsoft.com/office/drawing/2014/main" id="{011D2BAA-845D-40C1-8BB6-E373C3250A21}"/>
            </a:ext>
          </a:extLst>
        </xdr:cNvPr>
        <xdr:cNvSpPr/>
      </xdr:nvSpPr>
      <xdr:spPr>
        <a:xfrm rot="19675542">
          <a:off x="12530668" y="5969001"/>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8</xdr:col>
      <xdr:colOff>62443</xdr:colOff>
      <xdr:row>122</xdr:row>
      <xdr:rowOff>42332</xdr:rowOff>
    </xdr:from>
    <xdr:ext cx="9369968" cy="1584872"/>
    <xdr:sp macro="" textlink="">
      <xdr:nvSpPr>
        <xdr:cNvPr id="2" name="Rectangle 1">
          <a:extLst>
            <a:ext uri="{FF2B5EF4-FFF2-40B4-BE49-F238E27FC236}">
              <a16:creationId xmlns:a16="http://schemas.microsoft.com/office/drawing/2014/main" id="{26878AA4-164D-4DEF-BC67-B1F840AC9860}"/>
            </a:ext>
          </a:extLst>
        </xdr:cNvPr>
        <xdr:cNvSpPr/>
      </xdr:nvSpPr>
      <xdr:spPr>
        <a:xfrm rot="19675542">
          <a:off x="9661526" y="6921499"/>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8</xdr:col>
      <xdr:colOff>114299</xdr:colOff>
      <xdr:row>126</xdr:row>
      <xdr:rowOff>180975</xdr:rowOff>
    </xdr:from>
    <xdr:ext cx="9369968" cy="1584872"/>
    <xdr:sp macro="" textlink="">
      <xdr:nvSpPr>
        <xdr:cNvPr id="2" name="Rectangle 1">
          <a:extLst>
            <a:ext uri="{FF2B5EF4-FFF2-40B4-BE49-F238E27FC236}">
              <a16:creationId xmlns:a16="http://schemas.microsoft.com/office/drawing/2014/main" id="{95296C75-BC73-4BEA-93EF-21587E7D16F7}"/>
            </a:ext>
          </a:extLst>
        </xdr:cNvPr>
        <xdr:cNvSpPr/>
      </xdr:nvSpPr>
      <xdr:spPr>
        <a:xfrm rot="19675542">
          <a:off x="9391649" y="27089100"/>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15</xdr:row>
      <xdr:rowOff>0</xdr:rowOff>
    </xdr:from>
    <xdr:ext cx="9369968" cy="1584872"/>
    <xdr:sp macro="" textlink="">
      <xdr:nvSpPr>
        <xdr:cNvPr id="2" name="Rectangle 1">
          <a:extLst>
            <a:ext uri="{FF2B5EF4-FFF2-40B4-BE49-F238E27FC236}">
              <a16:creationId xmlns:a16="http://schemas.microsoft.com/office/drawing/2014/main" id="{EB0122AE-DF3F-4923-A58B-5ED5051B8D26}"/>
            </a:ext>
          </a:extLst>
        </xdr:cNvPr>
        <xdr:cNvSpPr/>
      </xdr:nvSpPr>
      <xdr:spPr>
        <a:xfrm rot="19675542">
          <a:off x="4695825" y="5353050"/>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2</xdr:col>
      <xdr:colOff>352424</xdr:colOff>
      <xdr:row>13</xdr:row>
      <xdr:rowOff>114300</xdr:rowOff>
    </xdr:from>
    <xdr:ext cx="9369968" cy="1584872"/>
    <xdr:sp macro="" textlink="">
      <xdr:nvSpPr>
        <xdr:cNvPr id="2" name="Rectangle 1">
          <a:extLst>
            <a:ext uri="{FF2B5EF4-FFF2-40B4-BE49-F238E27FC236}">
              <a16:creationId xmlns:a16="http://schemas.microsoft.com/office/drawing/2014/main" id="{49ED52F9-211A-4D73-91FC-02767F1333CB}"/>
            </a:ext>
          </a:extLst>
        </xdr:cNvPr>
        <xdr:cNvSpPr/>
      </xdr:nvSpPr>
      <xdr:spPr>
        <a:xfrm rot="19675542">
          <a:off x="1571624" y="4695825"/>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2</xdr:col>
      <xdr:colOff>104776</xdr:colOff>
      <xdr:row>12</xdr:row>
      <xdr:rowOff>104774</xdr:rowOff>
    </xdr:from>
    <xdr:ext cx="9369968" cy="1584872"/>
    <xdr:sp macro="" textlink="">
      <xdr:nvSpPr>
        <xdr:cNvPr id="2" name="Rectangle 1">
          <a:extLst>
            <a:ext uri="{FF2B5EF4-FFF2-40B4-BE49-F238E27FC236}">
              <a16:creationId xmlns:a16="http://schemas.microsoft.com/office/drawing/2014/main" id="{90D90099-3824-4622-B77C-EDD27B9F5694}"/>
            </a:ext>
          </a:extLst>
        </xdr:cNvPr>
        <xdr:cNvSpPr/>
      </xdr:nvSpPr>
      <xdr:spPr>
        <a:xfrm rot="19675542">
          <a:off x="1323976" y="3733799"/>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2</xdr:col>
      <xdr:colOff>1085850</xdr:colOff>
      <xdr:row>18</xdr:row>
      <xdr:rowOff>704850</xdr:rowOff>
    </xdr:from>
    <xdr:ext cx="9369968" cy="1584872"/>
    <xdr:sp macro="" textlink="">
      <xdr:nvSpPr>
        <xdr:cNvPr id="2" name="Rectangle 1">
          <a:extLst>
            <a:ext uri="{FF2B5EF4-FFF2-40B4-BE49-F238E27FC236}">
              <a16:creationId xmlns:a16="http://schemas.microsoft.com/office/drawing/2014/main" id="{B5F9F9C7-0A61-4AC2-B612-751E217FABAB}"/>
            </a:ext>
          </a:extLst>
        </xdr:cNvPr>
        <xdr:cNvSpPr/>
      </xdr:nvSpPr>
      <xdr:spPr>
        <a:xfrm rot="19675542">
          <a:off x="2305050" y="6257925"/>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2</xdr:col>
      <xdr:colOff>1085850</xdr:colOff>
      <xdr:row>12</xdr:row>
      <xdr:rowOff>704850</xdr:rowOff>
    </xdr:from>
    <xdr:ext cx="9369968" cy="1584872"/>
    <xdr:sp macro="" textlink="">
      <xdr:nvSpPr>
        <xdr:cNvPr id="2" name="Rectangle 1">
          <a:extLst>
            <a:ext uri="{FF2B5EF4-FFF2-40B4-BE49-F238E27FC236}">
              <a16:creationId xmlns:a16="http://schemas.microsoft.com/office/drawing/2014/main" id="{DC4DF245-65DD-497C-BB20-BE488718CF68}"/>
            </a:ext>
          </a:extLst>
        </xdr:cNvPr>
        <xdr:cNvSpPr/>
      </xdr:nvSpPr>
      <xdr:spPr>
        <a:xfrm rot="19675542">
          <a:off x="2247900" y="6638925"/>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oneCellAnchor>
    <xdr:from>
      <xdr:col>2</xdr:col>
      <xdr:colOff>1085850</xdr:colOff>
      <xdr:row>20</xdr:row>
      <xdr:rowOff>0</xdr:rowOff>
    </xdr:from>
    <xdr:ext cx="9369968" cy="1584872"/>
    <xdr:sp macro="" textlink="">
      <xdr:nvSpPr>
        <xdr:cNvPr id="3" name="Rectangle 2">
          <a:extLst>
            <a:ext uri="{FF2B5EF4-FFF2-40B4-BE49-F238E27FC236}">
              <a16:creationId xmlns:a16="http://schemas.microsoft.com/office/drawing/2014/main" id="{69967AAC-E0F1-41AF-A6CB-0BE6FE81BA63}"/>
            </a:ext>
          </a:extLst>
        </xdr:cNvPr>
        <xdr:cNvSpPr/>
      </xdr:nvSpPr>
      <xdr:spPr>
        <a:xfrm rot="19675542">
          <a:off x="2247900" y="7372350"/>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2</xdr:col>
      <xdr:colOff>1085850</xdr:colOff>
      <xdr:row>18</xdr:row>
      <xdr:rowOff>704850</xdr:rowOff>
    </xdr:from>
    <xdr:ext cx="9369968" cy="1584872"/>
    <xdr:sp macro="" textlink="">
      <xdr:nvSpPr>
        <xdr:cNvPr id="2" name="Rectangle 1">
          <a:extLst>
            <a:ext uri="{FF2B5EF4-FFF2-40B4-BE49-F238E27FC236}">
              <a16:creationId xmlns:a16="http://schemas.microsoft.com/office/drawing/2014/main" id="{DEE04586-2FB4-4A4B-9090-8554C7DAF3E1}"/>
            </a:ext>
          </a:extLst>
        </xdr:cNvPr>
        <xdr:cNvSpPr/>
      </xdr:nvSpPr>
      <xdr:spPr>
        <a:xfrm rot="19675542">
          <a:off x="2266950" y="6638925"/>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1085850</xdr:colOff>
      <xdr:row>57</xdr:row>
      <xdr:rowOff>704850</xdr:rowOff>
    </xdr:from>
    <xdr:ext cx="9369968" cy="1584872"/>
    <xdr:sp macro="" textlink="">
      <xdr:nvSpPr>
        <xdr:cNvPr id="2" name="Rectangle 1">
          <a:extLst>
            <a:ext uri="{FF2B5EF4-FFF2-40B4-BE49-F238E27FC236}">
              <a16:creationId xmlns:a16="http://schemas.microsoft.com/office/drawing/2014/main" id="{71B69081-4E69-45F8-9280-A5EDEF99A6BD}"/>
            </a:ext>
          </a:extLst>
        </xdr:cNvPr>
        <xdr:cNvSpPr/>
      </xdr:nvSpPr>
      <xdr:spPr>
        <a:xfrm rot="19675542">
          <a:off x="2266950" y="5172075"/>
          <a:ext cx="9369968" cy="1584872"/>
        </a:xfrm>
        <a:prstGeom prst="rect">
          <a:avLst/>
        </a:prstGeom>
        <a:noFill/>
        <a:ln>
          <a:noFill/>
        </a:ln>
      </xdr:spPr>
      <xdr:txBody>
        <a:bodyPr wrap="square" lIns="91440" tIns="45720" rIns="91440" bIns="45720">
          <a:spAutoFit/>
        </a:bodyPr>
        <a:lstStyle/>
        <a:p>
          <a:pPr algn="ctr"/>
          <a:r>
            <a:rPr lang="en-US" sz="9600" b="1" cap="none" spc="0">
              <a:ln w="18000">
                <a:noFill/>
                <a:prstDash val="solid"/>
                <a:miter lim="800000"/>
              </a:ln>
              <a:solidFill>
                <a:schemeClr val="bg1">
                  <a:lumMod val="85000"/>
                  <a:alpha val="20000"/>
                </a:schemeClr>
              </a:solidFill>
              <a:effectLst>
                <a:outerShdw blurRad="25500" dist="23000" dir="7020000" algn="tl">
                  <a:srgbClr val="000000">
                    <a:alpha val="50000"/>
                  </a:srgbClr>
                </a:outerShdw>
              </a:effectLst>
            </a:rPr>
            <a:t>ABB Confidential</a:t>
          </a:r>
        </a:p>
      </xdr:txBody>
    </xdr:sp>
    <xdr:clientData/>
  </xdr:oneCellAnchor>
</xdr:wsDr>
</file>

<file path=xl/persons/person.xml><?xml version="1.0" encoding="utf-8"?>
<personList xmlns="http://schemas.microsoft.com/office/spreadsheetml/2018/threadedcomments" xmlns:x="http://schemas.openxmlformats.org/spreadsheetml/2006/main">
  <person displayName="Judith Rossebo" id="{AE44D5D6-5173-4819-8FAD-D2778AE7FDFD}" userId="Judith Rossebo" providerId="None"/>
  <person displayName="Ragnar Schierholz" id="{E7692393-24CC-4F75-A1AE-E2DA82AAAA04}" userId="Ragnar Schierholz" providerId="None"/>
  <person displayName="Roberto Conca" id="{54276D56-5455-48F5-AD8F-0AE3EBE7D299}" userId="S::roberto.conca@it.abb.com::8cab8ba0-5bb5-45f4-afd1-3732acfb8758" providerId="AD"/>
  <person displayName="Petri Tamminiemi" id="{8B43D859-7B64-45C7-AA2A-2557EF905637}" userId="S::Petri.Tamminiemi@fi.abb.com::f520fe96-b975-4d03-a65e-ecf444aba47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F4DFC9-4174-415A-B0A7-124C059290CA}" name="Table1" displayName="Table1" ref="A1:M24" totalsRowShown="0" headerRowDxfId="584" dataDxfId="583">
  <autoFilter ref="A1:M24" xr:uid="{06F4DFC9-4174-415A-B0A7-124C059290CA}"/>
  <tableColumns count="13">
    <tableColumn id="1" xr3:uid="{703B759A-767C-48EE-8EDF-7C395B63179C}" name="Category" dataDxfId="582"/>
    <tableColumn id="2" xr3:uid="{B8DD966D-3C86-4A16-B9FA-137176B7EB23}" name="ID" dataDxfId="581"/>
    <tableColumn id="3" xr3:uid="{AD0AF69B-B086-44E5-9FA1-3C5B18F46910}" name="Requirement" dataDxfId="580"/>
    <tableColumn id="7" xr3:uid="{D407CD8B-0B65-4297-8866-9E681EA7614F}" name="Rationale"/>
    <tableColumn id="4" xr3:uid="{8053B1CB-A87F-458F-851F-94E1B45BB567}" name="ABB Guidance" dataDxfId="579"/>
    <tableColumn id="24" xr3:uid="{D62F0B31-444B-419D-BBDF-F45454894862}" name="Product Team's Argument/Evidence" dataDxfId="578"/>
    <tableColumn id="13" xr3:uid="{5C71F33A-87D1-419E-A9F9-1F14C91147C6}" name="Assessor's Comments" dataDxfId="577"/>
    <tableColumn id="8" xr3:uid="{49F366BD-B772-4532-950D-EEB16D019C1F}" name="Action" dataDxfId="576"/>
    <tableColumn id="5" xr3:uid="{084BFBAD-1826-4F65-A3CD-FB001E7438EF}" name="Assessor's rating" dataDxfId="575"/>
    <tableColumn id="12" xr3:uid="{EA5B9689-B182-4AE9-893E-8400A3867D9C}" name="ABB Scope" dataDxfId="574">
      <calculatedColumnFormula>MIN(M2:M2)</calculatedColumnFormula>
    </tableColumn>
    <tableColumn id="14" xr3:uid="{695356BE-EDCF-45E6-873E-1AC2E784335B}" name="Assessment interval" dataDxfId="573"/>
    <tableColumn id="10" xr3:uid="{8C94DC6D-A8DD-497D-A90D-FD89A6586362}" name="Sequence _x000a_Number" dataDxfId="572"/>
    <tableColumn id="9" xr3:uid="{44755FFC-1BD1-4402-BC40-5B55F18DF2CD}" name="MCSR 1.0 Mapping" dataDxfId="57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7" personId="{AE44D5D6-5173-4819-8FAD-D2778AE7FDFD}" id="{3F0C2254-E555-458F-9B08-FAD340EC1ED9}">
    <text>Rationale:
• Target SLs (SL-T) are the desired level of security for a particular system. This is usually determined by performing a risk assessment on a system and determining that it needs a particular level of security to ensure its correct operation.</text>
  </threadedComment>
  <threadedComment ref="E8" personId="{AE44D5D6-5173-4819-8FAD-D2778AE7FDFD}" id="{A8CD93C9-C782-438A-89C4-E813815329B5}">
    <text xml:space="preserve">Rationale:
• Capability SLs (SL-C) are the security levels that components or systems can provide when properly configured. These levels state that a particular component or system is capable of meeting the target SLs natively without additional compensating countermeasures when properly configured and integrated. 
</text>
  </threadedComment>
  <threadedComment ref="A14" personId="{AE44D5D6-5173-4819-8FAD-D2778AE7FDFD}" id="{112E337D-9602-434E-A7BA-F4373BF9376F}">
    <text>Rationale::
Note: if SL-T is required as SL 0, then the SL-C vector rating is set to N/A as it is not required therefore no is calculation done. Similarly, if the ABB rating is that these requirements are N/A then N/A will show up the SL-C vector rating for an FR. ( that this will appear seldomly
 as this will only result in n/a if all SRs and REs used in the FR calculation are n/a)</text>
  </threadedComment>
</ThreadedComments>
</file>

<file path=xl/threadedComments/threadedComment2.xml><?xml version="1.0" encoding="utf-8"?>
<ThreadedComments xmlns="http://schemas.microsoft.com/office/spreadsheetml/2018/threadedcomments" xmlns:x="http://schemas.openxmlformats.org/spreadsheetml/2006/main">
  <threadedComment ref="F2" personId="{AE44D5D6-5173-4819-8FAD-D2778AE7FDFD}" id="{8D9C7D1F-2AB8-456C-8A7C-83B0CB48403A}">
    <text>Rationale:
In these columns
 the mappings to SL levels are given (corresponding to table B.1 in Annex B)</text>
  </threadedComment>
  <threadedComment ref="C10" personId="{AE44D5D6-5173-4819-8FAD-D2778AE7FDFD}" id="{703275FF-C579-47B0-8BD8-3F7AD1EA985B}">
    <text>Rationale:
All human users need to be identified and authenticated for all access to the component. Authentication of the identity of these users should be accomplished by using methods such as passwords, tokens, and biometrics or, in the case of multifactor authentication, some combination thereof. The geographic location of human users can also be used as part of the authentication process. This requirement should be applied to both local and remote access to the component. This requirement comes in addition to the requirement of having such an authentication and identification at the system level.
Interfaces capable of human user access are local user interfaces such as touchscreens, push buttons, keyboards, etc. as well as network protocols designed for human user interactions such as hypertext transfer protocol (HTTP), secure HTTP (HTTPS), file transfer protocol (FTP), secure FTP (SFTP), protocols used for device configuration tools (which are sometimes proprietary and other times use open protocols). User identification and authentication may be role-based or group-based (such as, for some component interfaces, several users may share the same identity). User identification and authentication should not hamper fast, local emergency actions.
In order to support IAC policies, as defined according to ISA‑62443‑2‑1, the component should verify the identity of all human users as a first step. In a second step, the permissions assigned to the identified human user should be enforced (see 6.3).</text>
  </threadedComment>
  <threadedComment ref="C19" personId="{AE44D5D6-5173-4819-8FAD-D2778AE7FDFD}" id="{79A25A0A-0839-4D67-9DDE-4EDB605F7FDB}">
    <text xml:space="preserve">Rationale:
The function of identification and authentication is to map an ID to an unknown software process or device (henceforth referred to an entity in this sub-clause) so as to make it known before allowing any data exchange. Allowing rogue entities to send and receive control system specific data can result in detrimental behavior of the legitimate control system. 
All entities need to be identified and authenticated for all access to the control system. Authentication of the identity of such entities should be accomplished by using methods such as passwords, tokens or location (physical or logical). This requirement should be applied to both local and remote access to the control system. However, in some scenarios where individual entities are used to connect to different target systems (for example, remote vendor support), it may be technical infeasible for an entity to have multiple identities. In these cases, compensating countermeasures would have to be applied. 
Identification and authentication mechanisms for all entities are needed to protect against attacks such as man-in-the-middle or message spoofing. In some cases, these mechanisms may involve multiple software processes running on the same physical server, each having their own identity. In other cases, the identity may be bound to the physical device, such as all processes running on a given PLC. 
Special attention needs to be made when identifying and authenticating portable and mobile devices. These types of devices are a known method of introducing undesired network traffic, malware and/or information exposure to control systems, including otherwise isolated networks.
Where entities function as a single group, identification and authentication may be role-based, group-based or entity-based. It is essential that local emergency actions as well as control system essential functions not be hampered by identification or authentication requirements (see clause 4 for a more complete discussion). For example, in common protection and control schemes, a group of devices jointly execute the protection functions and communicate with multicast messages among the devices in the group. In these cases, group authentication based on shared accounts or shared symmetric keys are commonly used. 
In order to support identification and authentication control policies as defined according to ISA‑62443‑2‑1 (99.02.01) [5], the control system verifies the identity of all entities as a first step. In a second step, the permissions assigned to the identified entity are enforced (see 6.3, CR 2.1 – Authorization enforcement)
</text>
  </threadedComment>
  <threadedComment ref="C25" personId="{AE44D5D6-5173-4819-8FAD-D2778AE7FDFD}" id="{E32155DD-7269-4B19-94DB-253D8539DF5B}">
    <text xml:space="preserve">Rationale:
A component may provide this capability by integrating into a higher-level account management system. If the capability is not integrated into a higher-level account management system then the component is expected to provide the capability natively.
A common approach meeting this requirement would be a component that delegates the valuation of authentication to a directory server (for example, LDAP or Active Directory) which
provides the account management capabilities required by IEC 62443‑3‑3 SR 1.3.
When a component integrates into a higher-level system to provide the account management capabilities there needs to be consideration for the impact to the component in the event that
the higher-level system capability becomes unavailable.
</text>
  </threadedComment>
  <threadedComment ref="M25" dT="2021-07-21T10:13:44.77" personId="{54276D56-5455-48F5-AD8F-0AE3EBE7D299}" id="{62BB047A-8355-4BB8-8377-D2C3E381CF9E}">
    <text>Use standard authentication in ABB (MyABB &amp; OAuth2.0 lib)  and not local authentication</text>
  </threadedComment>
  <threadedComment ref="C28" personId="{AE44D5D6-5173-4819-8FAD-D2778AE7FDFD}" id="{BA4C25A3-8A40-46AD-BFBD-9A4BD77E3B5C}">
    <text>Rationale:
Accounts created under CR 1.3 - Account management require the use of one or more identifiers to distinctly identify each account. These identifiers must be unique and unambiguous as to the account with which they are associated. Some examples of accounts in common use are account names, UNIX user ids, Microsoft Windows account globally unique identifiers (GUID), and bound X.509 certificates. A component may provide a local capability to associate identifiers with accounts. If the component is integrated into a system that enforces a system-wide security policy it is highly recommended that identifiers be associated with the same account across all components in the system. In order to accomplish this a component must be able to integrate into a system-wide identifier management capability.</text>
  </threadedComment>
  <threadedComment ref="C30" personId="{E7692393-24CC-4F75-A1AE-E2DA82AAAA04}" id="{EA574F48-3380-4AD6-AFCA-21A4643E69F8}">
    <text>Rationale:
Rationale:
In addition to an identifier (see 5.6) an authenticator is required to prove identity. Control system authenticators include, but are not limited to, tokens, symmetric keys, private keys (part of a public/private key pair), biometrics, passwords, physical keys and key cards. There should be security policies in place instructing that human users must take reasonable measures to safeguard authenticators, including maintaining possession of their individual authenticators, not loaning or sharing authenticators with others and reporting lost or compromised authenticators immediately.
Authenticators have a lifecycle. When an account is created automatically a new authenticator needs to be created, in order for the account owner to be able to authenticate. For example, in a password-based system, the account has a password associated with it. Definition of the initial authenticator content could be interpreted as the administrator defining the initial password that the account management system sets for all new accounts. Being able to configure these initial values makes it harder for an attacker to guess the password between account creation and first account use (which should involve the setting of a new password by the account owner). Some control systems are installed with unattended installers that create all necessary accounts with default passwords and some embedded devices are shipped with default passwords. Over time, these passwords often become general knowledge and are documented on the Internet. Being able to change the default passwords protects the system against unauthorized users using default passwords to gain access. Passwords can be obtained from storage or from transmission when used in network authentication. The complexity of this can be increased by cryptographic protections such as encryption or hashing or by handshake protocols that do not require transmission of the password at all. Still, passwords might be subject to attacks, for example, brute force guessing or breaking the cryptographic protection of passwords in transit or storage. The window of opportunity can be reduced by changing/refreshing the passwords periodically. Similar considerations apply to authentication systems based on cryptographic keys. Enhanced protection can be achieved by using hardware mechanisms such as hardware security modules like trusted platform modules (TPMs).
The management of authenticators should be specified in applicable security policies and procedures, for example, constraints to change default authenticators, refresh periods, specification of the protection of authenticators or firecall procedures.
Besides the capabilities for authenticator management specified in this requirement, the strength of the authentication mechanism depends on the strength of the chosen authenticator (for example, password complexity or key length in public key authentication) and the policies for validating the authenticator in the authentication process (for example, how long a password is valid or which checks are performed in public key certificate validation). For the most common authentication mechanisms, password-based and public key authentication, 5.9, 5.10 and 5.11 provide further requirements.
Use of components for some operations may be restricted, requiring additional authentication (such as tokens, keys and certificates) in order to perform some functions.</text>
  </threadedComment>
  <threadedComment ref="D30" personId="{E7692393-24CC-4F75-A1AE-E2DA82AAAA04}" id="{E43E5792-56CF-4413-AC64-C4609117E7C7}">
    <text>Rationale:
MCSR has a "not" requirement. Improvement would be to write it positive like in 62443: Products should have Account- and Authenticator Management. 
Question: What exactly is an Authenticator?</text>
  </threadedComment>
  <threadedComment ref="N31" dT="2021-07-14T09:18:20.79" personId="{8B43D859-7B64-45C7-AA2A-2557EF905637}" id="{BEEB1AD1-C907-4C51-90E1-5C1A69406776}">
    <text>More guidance documentation needs to be added for the implementer.</text>
  </threadedComment>
  <threadedComment ref="C40" personId="{AE44D5D6-5173-4819-8FAD-D2778AE7FDFD}" id="{B6BBFC7C-5609-4849-B76C-31640629FEC0}">
    <text>Rationale:
Any wireless technology can, and in most cases should, be considered just another communication protocol option. Thus, it should be subject to the same IACS security requirements as any other communication type utilized by the IACS. However, from a security point of view, there is at least one significant difference between wired and wireless communications. Physical security countermeasures are typically less effective when using wireless.</text>
  </threadedComment>
  <threadedComment ref="C46" personId="{AE44D5D6-5173-4819-8FAD-D2778AE7FDFD}" id="{4A012BFB-13AF-4FC0-AB6D-8D8822C8CCAB}">
    <text>Rationale:
The ability to enforce configurable password strength, whether it is based on minimum length, variety of characters, or duration of time (the minimum being a one-time password) is necessary to assist in increasing the overall security of user chosen passwords.  Generally accepted practices and recommendations can be found in documents such as NIST SP800-63-2, Electronic Authentication Guideline</text>
  </threadedComment>
  <threadedComment ref="C55" personId="{AE44D5D6-5173-4819-8FAD-D2778AE7FDFD}" id="{49859941-86BE-47BB-9102-785266BA332D}">
    <text>Rationale:
The selection of an appropriate PKI should consider the organization’s certificate policy which should be based on the risk associated with a breach of confidentiality of the protected information. Guidance on the policy definition can be found in commonly accepted standards and guidelines, such as the Internet Engineering Task Force (IETF) Request for Comment (RFC) 3647 [22] for X.509-based PKI. For example, the appropriate location of a certification authority (CA), whether within the control system versus on the Internet, and the list of trusted CAs should be considered in the policy and depends on the network architecture (see also ISA‑62443‑2‑1 [1]).</text>
  </threadedComment>
  <threadedComment ref="C58" personId="{AE44D5D6-5173-4819-8FAD-D2778AE7FDFD}" id="{BE6DE086-6DD1-47F0-ADF2-7A3E5A586ACE}">
    <text xml:space="preserve">Rationale:
To meet the requirements in this clause does not necessarily require a real time connection to a certificate authority.  Alternative out of band methods may be used to meet the requirements in this clause.  For example, a disconnected system could install and update certifications using manual out-of-band processes.  
Public/private key cryptography strongly depends on the secrecy of a given subject’s private key and proper handling of the trust relationships. When verifying a trust between two entities based on public key authentication, it is essential to trace the public key certificate to a trusted entity. A common implementation error in certificate validation is to only check the validity of a certificate’s signature, but not checking the trust in the signer. In a PKI setting, a signer is trusted if they are a trusted CA or have a certificate issued by a trusted CA, thus all verifiers need to trace certificates presented to them back to a trusted CA. If such a chain of trusted CAs cannot be established, the presented certificate should not be trusted. 
If self-signed certificates are used instead of a PKI, the certificate subject itself signed its certificate, thus there never is a trusted third-party or CA. This should be compensated by deploying the self-signed public key certificates to all peers that need to validate them via an otherwise secured mechanism (for example, configuration of all peers in a trusted environment). Trusted certificates need to be distributed to peers through secure channels. During the validation process, a self-signed certificate should only be trusted if it is already present in the list of trusted certificates of the validating peer. The set of trusted certificates should be configured to the minimum necessary set.
In both cases, validation needs to also consider the possibility that a certificate is revoked. In a PKI setting this is typically done by maintaining certificate revocation lists (CRLs) or running an online certificate status protocol (OCSP) server. When revocation checking is not available due to control system constraints, mechanisms such as a short certificate lifetime can compensate for the lack of timely revocation information. Note that short lifetime certificates can sometimes create significant operational issues in a control system environment.
It is expected that most components will integrate into an IACS and leverage the key authentication mechanisms provided by the underlying IACS. When implementing public key authentication at the component-level of an IACS, protection of the key becomes a primary concern and objective of key storage on that component. Care should be taken in the implementation to assure that any private keys stored within the component cannot be modified or tampered (See 5.7, CR 1.5 – Authenticator management).
NOTE   Tamper resistant design methodologies and technologies are available to assist with designing a secure private key protection mechanism.
</text>
  </threadedComment>
  <threadedComment ref="C64" personId="{AE44D5D6-5173-4819-8FAD-D2778AE7FDFD}" id="{348D09F9-2E60-4A24-8799-630983303C18}">
    <text>Rationale:
Obscuring feedback protects the information from possible exploitation by unauthorized individuals, for example, displaying asterisks or other random characters when a human user types in a username and/or password obscures feedback of authentication information. Other examples include the entry of secure socket shell (SSH) token entry and one-time passwords. The authenticating entity should not provide any hint as to the reason for the authentication failure, such as “unknown user name.”</text>
  </threadedComment>
  <threadedComment ref="C67" personId="{AE44D5D6-5173-4819-8FAD-D2778AE7FDFD}" id="{425FBB05-0CF7-482F-AB81-A92B4487A766}">
    <text>Rationale:
Due to the potential for denial of service, the number of consecutive invalid access attempts may be limited. If enabled, the application or device may automatically reset to zero the number of access attempts after a predetermined time period established by the applicable security policies and procedures. Resetting the access attempts to zero will allow users (human, software process or device) to gain access if they have the correct login identifier.  Automatic denial of access for control system operator workstations or nodes should not be used when immediate operator responses are required in emergency situations. All lockout mechanisms should consider functional requirements for continuous operations so as to mitigate adverse denial of service operating conditions which could result in total system failure or injury to personnel. Allowing interactive logins to an account used for critical services could provide a potential for denial of service or other abuse.</text>
  </threadedComment>
  <threadedComment ref="C70" personId="{AE44D5D6-5173-4819-8FAD-D2778AE7FDFD}" id="{F7330E94-6569-4275-A86B-F673EC414809}">
    <text xml:space="preserve">Rationale:
Privacy and security policies and procedures need to be consistent with applicable laws, directives, policies, regulations, standards and guidance. Often, the main justification for this requirement is legal prosecution of violators and proving intentional breach. This capability is thus necessary to support policy requirements, and might improve IACS security because it can be used as a deterrent. System use notification messages can be implemented in the form of warning banners displayed when individuals log in to the control system. A warning banner implemented as a posted physical notice in the control system facility does not protect against remote login issues.
Examples of elements for inclusion in the system use notification message are: 
a) that the individual is accessing a specific control system;
b) that system usage may be monitored, recorded and subject to audit;
c) that unauthorized use of the system is prohibited and subject to criminal and/or civil penalties; and
d) that use of the system indicates consent to monitoring and recording
</text>
  </threadedComment>
  <threadedComment ref="C73" personId="{AE44D5D6-5173-4819-8FAD-D2778AE7FDFD}" id="{007A18C3-9F28-447E-9D59-4EE0E3727FAC}">
    <text>Rationale:
The network device should protect against unauthorized connections or subversion of authorized connections. 
Examples of access to the network device via untrusted networks typically include remote access methods (such as, dial-up, broadband and wireless) as well as connections from a company’s office (non-control system) network. The network device may provide ACL (access control list) functionality to restrict access by:
Layer 2 forwarding devices such as Ethernet switches:
a) MAC address
b) VLAN
Layer 3 forwarding devices such as routers, gateways and firewalls:
a) IP address
b) port and protocol
c) virtual private networks</text>
  </threadedComment>
  <threadedComment ref="C79" personId="{AE44D5D6-5173-4819-8FAD-D2778AE7FDFD}" id="{A8D13F62-6CBE-49B8-ADFE-4BD862A306D0}">
    <text xml:space="preserve">Rationale:
Means should be defined for installing the keys into the component. This may include installing and managing the component key using out-of-band methods. This is necessary since a compromise of any symmetric keys that are stored within the component could lead to a full compromise of the system using those keys.
In practice, there are two basic ways to perform the secure authentication of a device to another: either using asymmetric cryptography (see 5.11) or by using symmetric cryptography. The choice between asymmetric and symmetric is dictated by several criteria, like key management, trust provisioning, legacy support and efficiency. Examples of symmetric key authentication schemes are Needham-Schröder or Kerberos. When symmetric key authentication is used, the party uses a secret key they have learned in the past (for example, through trust provisioning). The party proves their claimed identity by proving knowledge of the secret key (for example, by answering a challenge submitted by the other party, the examiner). The examiner has the knowledge of the same secret (also learned in the past through trust provisioning) and is able to compute the answer to the challenge performing the same cryptographic operations as the prover. The examiner can then compare the answer of the prover with its own computation. If they match, the examiner is convinced that the prover is the one they claim to be and the process can be conducted the other way around, switching roles, to achieve mutual-authentication. This mechanism is secure only if the shared secret is only known by the prover and the examiner and if the secret is diversified per prover. One instance of such a mechanism is the proper use of cipher-based message authentication code (CMAC) computations or alternatively the Galois counter mode (GCM)/Galois message authentication code (GMAC) operation modes.
</text>
  </threadedComment>
</ThreadedComments>
</file>

<file path=xl/threadedComments/threadedComment3.xml><?xml version="1.0" encoding="utf-8"?>
<ThreadedComments xmlns="http://schemas.microsoft.com/office/spreadsheetml/2018/threadedcomments" xmlns:x="http://schemas.openxmlformats.org/spreadsheetml/2006/main">
  <threadedComment ref="F2" personId="{AE44D5D6-5173-4819-8FAD-D2778AE7FDFD}" id="{7C942353-8901-41E5-B331-29A3C02F99A9}">
    <text>Rationale:
In these columns
 the mappings to SL levels are given (corresponding to table B.1 in Annex B)</text>
  </threadedComment>
  <threadedComment ref="C10" personId="{AE44D5D6-5173-4819-8FAD-D2778AE7FDFD}" id="{C96B01D1-32CB-44DF-B4B1-F5101F4949B5}">
    <text xml:space="preserve">Rationale:
Use control policies (for example, identity-based policies, role-based policies and rule-based policies) and associated read/write access enforcement mechanisms (for example, access control lists, access control matrices and cryptography) are employed to control usage between users (humans, software processes and devices) and assets (for example, devices, files, records, software processes, programs and domains). 
After the control system has verified the identity of a user (human, software process or device) (see 5.3, CR 1.1 – Human user identification and authentication and 5.4, CR 1.2 – Software process and device identification and authentication), it also has to verify that a requested operation is actually permitted according to the defined security policies and procedures. For example, in a role-based access control policy, the control system would check which roles are assigned to a verified user or asset and which privileges are assigned to these roles – if the requested operation is covered by the permissions, it is executed, otherwise rejected. This allows the enforcement of segregation of duties and least privileges. Usage enforcement mechanisms should not be allowed to adversely affect the operational performance of the control system. 
Planned or unplanned changes to control system components can have significant effects on the overall security of the control system. Accordingly, only qualified and authorized individuals should obtain the use of control system components for purposes of initiating changes, including upgrades and modifications.
</text>
  </threadedComment>
  <threadedComment ref="C25" personId="{AE44D5D6-5173-4819-8FAD-D2778AE7FDFD}" id="{DA003E87-FAC1-417B-90EC-B131DE3BE97D}">
    <text>Rationale:
Wireless use control may be implemented in different devices that make up the system. Network devices may be one of the devices that assist with use control through controls such as network admission control. For devices and applications that utilize wireless networks those devices should be able to properly utilize wireless network protection such as network admission control. Components may also implement different limitations on access based on whether the access is from wireless devices or wired devices. This does place a need that the component be able to distinguish whether the interface is through wireless or not. Some network devices provide the capability to scan for unauthorized wireless network activity in the wireless spectrum. In order to prevent a negative impact on the performance of the control system functionality, it is a good practice to deploy dedicated devices to perform checks for unauthorized network activity.</text>
  </threadedComment>
  <threadedComment ref="C31" personId="{AE44D5D6-5173-4819-8FAD-D2778AE7FDFD}" id="{1B43336F-BDB9-45DB-846D-31B56D838D22}">
    <text>Rationale:
Mobile code technologies include, but are not limited to, Java, JavaScript, ActiveX, portable document format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in which the component resides. For example, mobile code exchanges may be disallowed directly within the control system, but may be allowed in a controlled adjacent environment maintained by IACS personnel.</text>
  </threadedComment>
  <threadedComment ref="C36" personId="{E7692393-24CC-4F75-A1AE-E2DA82AAAA04}" id="{B69759B3-73CC-4581-8165-37234874675F}">
    <text>Rationale:
Mobile code technologies include, but are not limited to, Java, JavaScript, ActiveX,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in which the component resides. For example, mobile code exchanges may be disallowed directly within the control system, but may be allowed in a controlled adjacent environment maintained by IACS personnel.</text>
  </threadedComment>
  <threadedComment ref="C45" personId="{AE44D5D6-5173-4819-8FAD-D2778AE7FDFD}" id="{679DA158-28EC-4E23-AAAC-97F0487AD188}">
    <text xml:space="preserve">Rationale:
Mobile code technologies include, but are not limited to, Java, JavaScript, ActiveX,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in which the host device resides. For example, mobile code exchanges may be disallowed directly with the control system, but may be allowed in a controlled adjacent environment maintained by IACS personnel.
Mobile code could be secured by adding integrity, authenticity, and authorization checks to the code itself (application layer), or for “just-in-time” code execution through transmitting the mobile code via a secure communications tunnel which provides these attributes, or any mechanism equivalent to these options.
</text>
  </threadedComment>
  <threadedComment ref="C51" personId="{AE44D5D6-5173-4819-8FAD-D2778AE7FDFD}" id="{89FD9A71-D5CB-4CB1-9607-8591BE77BFD8}">
    <text xml:space="preserve">Rationale:
Mobile code technologies include, but are not limited to, Java, JavaScript, ActiveX, PDF, Postscript, Shockwave movies, Flash animations and VBScript. Usage restrictions apply to both the selection and use of mobile code installed on servers and mobile code downloaded and executed on individual workstations. Control procedures should prevent the development, acquisition or introduction of unacceptable mobile code within the control system in which the component resides. For example, mobile code exchanges may be disallowed directly within the control system, but may be allowed in a controlled adjacent environment maintained by IACS personnel.
Mobile code could be secured by adding integrity, authenticity, and authorization checks to the code itself (application layer), or for “just-in-time” code execution through transmitting the mobile code via a secure communications tunnel which provides these attributes, or any mechanism equivalent to these options.
</text>
  </threadedComment>
  <threadedComment ref="C57" personId="{AE44D5D6-5173-4819-8FAD-D2778AE7FDFD}" id="{8D210296-B9D0-468C-9E8E-D956F4CC1107}">
    <text xml:space="preserve">Rationale:
Session locks are used to prevent access to specified workstations or nodes. Components should activate session lock mechanisms automatically after a configurable time period. In most cases, the session locks are configured at the system level. Session locks implemented as part of this requirement may be pre-empted or limited by remote session termination, as defined in CR 2.6 – Remote session termination.
</text>
  </threadedComment>
  <threadedComment ref="C60" personId="{AE44D5D6-5173-4819-8FAD-D2778AE7FDFD}" id="{746BD114-3B6E-4E42-99A3-461D52A43218}">
    <text>Rationale:
A remote session is initiated whenever a component is accessed across the boundary of a zone defined by the asset owner based on their risk assessment. This requirement may be limited to sessions that are used for component monitoring and maintenance activities (not critical operations) based on the risk assessment of the control system and security policies and procedures. Some components may not allow sessions to be terminated as the session might be part of an essential function of the component</text>
  </threadedComment>
  <threadedComment ref="C63" personId="{AE44D5D6-5173-4819-8FAD-D2778AE7FDFD}" id="{0DAD6936-2245-4240-8E96-890F70695948}">
    <text>Rationale:
A resource starvation DoS might occur if a limit is not imposed. There is a trade-off between potentially locking out a specific user versus locking out all users and services due to a lack of resources. Product supplier and/or system integrator guidance is likely required to provide sufficient information as to how the number of concurrent sessions value should be assigned</text>
  </threadedComment>
  <threadedComment ref="C66" personId="{AE44D5D6-5173-4819-8FAD-D2778AE7FDFD}" id="{2A72B160-46C1-4D77-870C-925B4BE7DBCA}">
    <text xml:space="preserve">Rationale:
Devices may contain either embedded firmware or run an OS. While the intent of the requirement is to cover categories of events, at least all events from the above categories that can be generated by the firmware or OS are to be included.
NOTE   Security event categories are only applicable if functionality itself is provided by the component.
</text>
  </threadedComment>
  <threadedComment ref="C69" personId="{AE44D5D6-5173-4819-8FAD-D2778AE7FDFD}" id="{6A04A38B-CF42-493D-9521-2CABA6C5CB48}">
    <text xml:space="preserve">Rationale:
Components should provide sufficient audit storage capacity, taking into account retention policy, the auditing to be performed and the online audit processing requirements.  Components may rely on the system into which they are integrated to provide the majority of audit storage capacity.  However, the components should provide enough local storage to buffer audit data until it can be sent to the system.
Guidelines to be considered may include NIST Special Publication (SP) 800-92 [19]. The audit storage capacity should be sufficient to retain logs for a period of time required by applicable policies and regulations or business requirements.
</text>
  </threadedComment>
  <threadedComment ref="C75" personId="{AE44D5D6-5173-4819-8FAD-D2778AE7FDFD}" id="{ACD824A0-138A-403C-B17B-39EFA83CA4C7}">
    <text>Rationale:
Audit generation typically occurs at the source of the event. Audit processing involves transmission, possible augmentation (such as, the addition of a timestamp) and persistent storage of the audit records. Audit processing failures include, for example, software or hardware errors, failures in the audit capturing mechanisms and audit storage capacity being reached or exceeded. Guidelines to be considered when designing appropriate response actions may include the NIST SP 800-92, Guide to Computer Security Log Management [19]. It should be noted that either overwriting the oldest audit records or halting audit log generation are possible responses to audit storage capacity being exceeded but imply the loss of potentially essential forensic information. Also alerting personnel could be an appropriate supporting action in response to an audit processing failure.</text>
  </threadedComment>
  <threadedComment ref="C78" personId="{AE44D5D6-5173-4819-8FAD-D2778AE7FDFD}" id="{AEEF8C89-6E67-4C85-A78C-E0BD7435A081}">
    <text>Rationale:
A good reference for the format of timestamps is ISO/IEC 8601:2004, Data elements and interchange formats – Information interchange – Representation of dates and times.
Care should be
taken when designing a system that periodic time-shift events, such as daylight savings time in some locations, are considered.</text>
  </threadedComment>
  <threadedComment ref="C87" personId="{AE44D5D6-5173-4819-8FAD-D2778AE7FDFD}" id="{4346FDD8-CB11-4F2F-B51E-918FCBC6630F}">
    <text>Rationale:
Examples of particular actions taken by a user include performing operator actions, changing control system configurations, creating information, sending a message, approving information (such as, indicating concurrence) and receiving a message. Non-repudiation protects against later false claims by a user of not having taken a specific action, by an author of not having authored a particular document, by a sender of not having transmitted a message, by a receiver of not having received a message or by a signatory of not having signed a document. Non-repudiation services can be used to determine if information originated from a user, if a user took specific actions (for example, sending an email and approving a work order) or received specific information. Non-repudiation services are obtained by employing various techniques or mechanisms (for example, user identification and authorization, digital signatures, digital message receipts and timestamps)</text>
  </threadedComment>
  <threadedComment ref="C93" personId="{AE44D5D6-5173-4819-8FAD-D2778AE7FDFD}" id="{F8EA452C-8188-436D-B408-8E25CEC9C491}">
    <text xml:space="preserve">Rationale:
Factory diagnostic and test interface(s) are created at various locations within the component to assist the component’s developers and factory personnel as they test the functional implementation, and when errors are discovered to subsequently remove them from the component. However, these same interfaces must be carefully protected from access by unauthorized entities to protect the essential functionality provided by the component to the IACS.
If a diagnostic and test interface does not provide an ability to control the embedded device or to access non-public information, then it will not need an authentication mechanism. This shall be determined via a threat and risk assessment. An example of this would be JTAG
debugging, in which JTAG is used to take control of the processor and execute arbitrary commands, versus a JTAG boundary scan where JTAG is used to simply read information (which may be publicly available information).
There may be cases where the factory diagnostic and test interface(s) use network communications with the device.  When this is the case those interfaces are to be subjected to all of the requirements of this document.
</text>
  </threadedComment>
  <threadedComment ref="M93" dT="2021-07-12T12:21:46.29" personId="{8B43D859-7B64-45C7-AA2A-2557EF905637}" id="{BEF0F5FE-55A1-48E5-AB04-BDDE8FEC1004}">
    <text>NA mobile platform controls access to debug infrastucture.</text>
  </threadedComment>
  <threadedComment ref="C99" personId="{AE44D5D6-5173-4819-8FAD-D2778AE7FDFD}" id="{BD34E263-0BAE-40E7-835B-F9C981CAE7EF}">
    <text xml:space="preserve">Rationale:
Factory diagnostic and test interface(s) are created at various locations within the component to assist the component’s developers and factory personnel as they test the functional implementation, and when errors are discovered to subsequently remove them from the component. However, these same interfaces must be carefully protected from access by unauthorized entities to protect the essential functionality provided by the component to the IACS.
There may be cases where the factory diagnostic and test interface(s) use network communications with the device.  When this is the case those interfaces are to be subjected to all of the requirements of this document.
If a diagnostic and test interface does not provide an ability to control the host device or to access non-public information, then it will not need an authentication mechanism. This shall be determined via a threat and risk assessment. An example of this would be JTAG debugging, in which JTAG is used to take control of the processor and execute arbitrary commands, versus a JTAG boundary scan where JTAG is used to simply read information (which may be publicly available information).
</text>
  </threadedComment>
  <threadedComment ref="M99" dT="2021-07-21T10:39:06.91" personId="{54276D56-5455-48F5-AD8F-0AE3EBE7D299}" id="{2D27F98E-E7B5-4103-BA7F-5E2C274A7F89}">
    <text>Delete any reference of the test and Debug in the release candidate (links to JUnit or other debug tools). Request user service permissions and block unnecessary services</text>
  </threadedComment>
  <threadedComment ref="C105" personId="{AE44D5D6-5173-4819-8FAD-D2778AE7FDFD}" id="{0F7F3A8F-2907-45D5-930E-426872F998E2}">
    <text>Rationale:
Factory diagnostic and test interface(s) are created at various locations within the component to assist the component’s developers and factory personnel as they test the functional implementation, and when errors are discovered to subsequently remove them from the component. However, these same interfaces must be carefully protected from access by unauthorized entities to protect the essential functionality provided by the component to the IACS.
There may be cases where the factory diagnostic and test interface(s) use network communications with the device.  When this is the case those interfaces are to be subjected to all of the requirements of this standard
Note that if a diagnostic and test interface does not provide the ability to control the product, or to access non-public information, then it will not need an authentication mechanism. This should be determined via a threat assessment. An example of this would be JTAG debugging, in which JTAG is used to take control of the processor and execute arbitrary commands, versus a JTAG boundary scan where JTAG is used to simply read information (which may be publicly available information).</text>
  </threadedComment>
  <threadedComment ref="M105" dT="2021-07-21T10:39:06.91" personId="{54276D56-5455-48F5-AD8F-0AE3EBE7D299}" id="{95780495-E841-4CBE-BD1D-6220F9CCCDC2}">
    <text>Delete any reference of the test and Debug in the release candidate (links to JUnit or other debug tools). Request user service permissions and block unnecessary services</text>
  </threadedComment>
</ThreadedComments>
</file>

<file path=xl/threadedComments/threadedComment4.xml><?xml version="1.0" encoding="utf-8"?>
<ThreadedComments xmlns="http://schemas.microsoft.com/office/spreadsheetml/2018/threadedcomments" xmlns:x="http://schemas.openxmlformats.org/spreadsheetml/2006/main">
  <threadedComment ref="F2" personId="{AE44D5D6-5173-4819-8FAD-D2778AE7FDFD}" id="{67CDBC1F-4DAC-49BA-BE58-A6513F91B870}">
    <text>Rationale:
In these columns
 the mappings to SL levels are given (corresponding to table B.1 in Annex B)</text>
  </threadedComment>
  <threadedComment ref="C10" personId="{AE44D5D6-5173-4819-8FAD-D2778AE7FDFD}" id="{3E3D1DBF-DCCC-4124-A38D-41FA42A7B4FD}">
    <text xml:space="preserve">Rationale:
Many common network attacks are based on the manipulation of data in transmission, for example manipulation of network packets. Switched or routed networks provide a greater opportunity for attackers to manipulate packets as undetected access to these networks is generally easier and the switching and routing mechanisms themselves can also be manipulated in order to get more access to transmitted information. Manipulation in the context of a control system could include the change of measurement values communicated from a sensor to a receiver or the alteration of command parameters sent from a control application to an actuator. 
Depending on the context (for example transmission within a local network segment versus transmission via untrusted networks) and the network type used in the transmission (for example transmission control protocol (TCP) / internet protocol (IP) versus local serial links), feasible and appropriate mechanisms will vary. On a small network with direct links (point-to-point), physical access protection to all nodes may be sufficient on lower SLs if the endpoints’ integrity is protected as well (see 7.6, CR 3.4 – Software and information integrity), while on a network distributed in areas with regular physical presence of staff or on a wide area network physical access is likely not enforceable. If a commercial service is used to provide communication services as a commodity item rather than a fully dedicated service (for example a leased line versus a T1 link), it may be more difficult to obtain the necessary assurances regarding the implementation of needed security controls for communication integrity (for example because of legal restrictions). When it is infeasible or impractical to meet the necessary security requirements it may be appropriate to implement either appropriate compensating countermeasures or explicitly accept the additional risk. 
Industrial equipment is often subject to environmental conditions that can lead to integrity issues and/or false positive incidents. Many times the environment contains particulates, liquids, vibration, gases, radiation, and electromagnetic interference (EMI) that can cause conditions that affect the integrity of the communication wiring and signals. The network infrastructure should be designed to minimize these physical/environmental effects on communication integrity. For example, when particulate, liquids, and/or gases are an issue, it may be necessary to use a sealed registered jack 45 (RJ-45) or M12 connector instead of a commercial-grade RJ-45 connector on the wire. The cable itself may need to use a different jacket instead to handle the particulate, liquid, and/or gas as well. In cases where vibration is an issue, M12 connectors may be necessary to prevent the spring pins on an RJ-45 connector from disconnecting during use. In cases where radiation and/or EMI are an issue, it may be necessary to use shielded twisted pair or fiber cables to prevent any effect on the communication signals. It may also be necessary to perform a wireless spectrum analysis in these areas if wireless networking is planned to verify that it is a viable solution
</text>
  </threadedComment>
  <threadedComment ref="N13" dT="2021-07-14T09:36:56.89" personId="{8B43D859-7B64-45C7-AA2A-2557EF905637}" id="{7067DD05-967E-4293-9108-8820FFEBA859}">
    <text>secure communication does not require encryption</text>
  </threadedComment>
  <threadedComment ref="C16" personId="{AE44D5D6-5173-4819-8FAD-D2778AE7FDFD}" id="{E2BD0BD1-ADC3-46AF-95CF-FE03BA4C9449}">
    <text>Rationale:
Protection from malicious code (for example, viruses, worms, Trojan horses and spyware) may be provided by the control system application or by an external service or application. Control system applications need to be compatible with mechanisms designed to protect them from malicious code.  This requirement does not imply that the product supplier is to qualify and document all malicious code protection mechanisms which are compatible with the application but implies that the product supplier is to qualify and document at least one mechanism.</text>
  </threadedComment>
  <threadedComment ref="C19" personId="{AE44D5D6-5173-4819-8FAD-D2778AE7FDFD}" id="{DAB93126-4EEB-4A96-A9C5-82F656FBB1BC}">
    <text xml:space="preserve">Rationale:
Unauthorized software may contain malicious code and thus be harmful to the component.  If an embedded device is able to utilize a compensating control, it need not directly support protection from malicious code. It is assumed that the IACS will be responsible for providing the required safeguards. However, for scenarios such as having a local universal serial bus (USB) host access, the need for protection from malicious code should be determined by a risk assessment.
Detection mechanisms should be able to detect integrity violations of application binaries and data files. Techniques may include, but are not limited to, binary integrity and attributes monitoring, hashing and signature techniques.
Prevention techniques may include, but are not limited to,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for an associated requirement involving control system monitoring tools and techniques.
</text>
  </threadedComment>
  <threadedComment ref="C22" personId="{AE44D5D6-5173-4819-8FAD-D2778AE7FDFD}" id="{BAF8B1AA-E5FB-4D7F-A746-B2386774208E}">
    <text>Rationale:
Host devices need to support the use of malicious code protection (against, for example, viruses, worms, Trojan horses and spyware) protection. The product supplier should qualify and document the configuration of protection from malicious code mechanisms so that the primary mission of the control system is maintained.</text>
  </threadedComment>
  <threadedComment ref="C28" personId="{AE44D5D6-5173-4819-8FAD-D2778AE7FDFD}" id="{C886BCB2-A97E-4D81-8D7A-B9414B25CA42}">
    <text>Rationale:
If a network device is able to utilize a compensating control, it need not directly support protection from malicious code. One such possible compensating control would be the use of network packet filtering devices to identify and remove malicious code while in transit.  It is assumed that the IACS will be responsible for providing the required safeguards. However, for scenarios such as having a local USB host access, the need for protection from malicious code should be evaluated.</text>
  </threadedComment>
  <threadedComment ref="C31" personId="{AE44D5D6-5173-4819-8FAD-D2778AE7FDFD}" id="{129D214D-5092-48BA-B912-A08E617F3F0E}">
    <text xml:space="preserve">Rationale:
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countermeasures by European Institute for Computer Antivirus Research (EICAR) testing of the control system file system. Antivirus software should detect the EICAR test samples and appropriate incident handling procedures should be triggered. 
• Verification of the identification, authentication and use control countermeasures by attempting access with an unauthorized account (for some functionality this could be automated). 
• Verification of intrusion detection systems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
</text>
  </threadedComment>
  <threadedComment ref="N37" dT="2021-07-14T09:39:10.55" personId="{8B43D859-7B64-45C7-AA2A-2557EF905637}" id="{CA4100C6-0FF9-4935-995E-FAE29ECA3F08}">
    <text>Documentation for clarification needed when to do the integrity checks.</text>
  </threadedComment>
  <threadedComment ref="M42" dT="2021-07-12T12:27:00.77" personId="{8B43D859-7B64-45C7-AA2A-2557EF905637}" id="{41DE7C03-9CF4-4D05-B28C-70B4D757A601}">
    <text>Text ok, open question is User comparable to System.</text>
  </threadedComment>
  <threadedComment ref="M45" dT="2021-07-14T10:25:34.99" personId="{8B43D859-7B64-45C7-AA2A-2557EF905637}" id="{1E2CCAFF-7DDE-4638-92E8-14AD7D7854CC}">
    <text>appstores for Android in China needs to be clarified/defined</text>
  </threadedComment>
  <threadedComment ref="M50" dT="2021-07-12T12:29:14.86" personId="{8B43D859-7B64-45C7-AA2A-2557EF905637}" id="{95C5A7B3-A77E-4E82-8214-F856B2C0811A}">
    <text>Text ok, open question is User comparable to System.</text>
  </threadedComment>
  <threadedComment ref="C56" personId="{AE44D5D6-5173-4819-8FAD-D2778AE7FDFD}" id="{6EE417BE-ADF4-48EE-AB7D-F108FD2750CB}">
    <text>Rationale:
Rules for checking the valid syntax of input data such as set points should be in place to verify that this information has not been tampered with and is compliant with the specification. Inputs passed to interpreters should be pre-screened to prevent the content from being unintentionally interpreted as commands.  Note that this is a security CR, thus it does not address human error, for example supplying a legitimate integer number which is outside the expected range.  
Generally accepted industry practices for input data validation include out-of-range values for a defined field type, invalid characters in data fields, missing or incomplete data and buffer overflow. Additional examples where invalid inputs lead to system security issues include SQL injection attacks, cross-site scripting or malformed packets (as commonly generated by protocol fuzzers). Guidelines to be considered should include well-known guidelines such as the Open Web Application Security Project (OWASP) Code Review Guide</text>
  </threadedComment>
  <threadedComment ref="N56" dT="2021-07-14T09:49:02.55" personId="{8B43D859-7B64-45C7-AA2A-2557EF905637}" id="{946174CF-4C87-422D-8231-B0A2B9CB76A0}">
    <text>hardning for MCSR 1.0, industrial process should be expanded to broader scope</text>
  </threadedComment>
  <threadedComment ref="C59" personId="{AE44D5D6-5173-4819-8FAD-D2778AE7FDFD}" id="{3547B422-0B38-4A0A-98F7-11AEE848BA0C}">
    <text xml:space="preserve">Rationale:
The deterministic behavior of control system outputs as a result of threat actions against the control system devices is an important characteristic to ensure the integrity of normal operations. Ideally, the device continues to operate normally while under attack, but if the control system cannot maintain normal operation, then the control system outputs need to fail to a predetermined state. The appropriate predetermined state of control system outputs is device dependent and could be one of the following user configurable options:
• Unpowered – the outputs fail to the unpowered state;
• Hold – the outputs fail to the last-known good value; or
• Fixed – the outputs fail to a fixed value that is determined by the asset owner or an application; or
• Dynamic – the outputs fail to one of the above options based on the current state
</text>
  </threadedComment>
  <threadedComment ref="C62" personId="{AE44D5D6-5173-4819-8FAD-D2778AE7FDFD}" id="{F3B3899B-6EE4-4EDA-B896-53562A859C7E}">
    <text xml:space="preserve">Rationale:
The product supplier and/or system integrator should carefully consider the structure and content of error messages. Error messages generated by the component should provide timely and useful information without revealing potentially harmful information that could be used by adversaries to exploit the IACS. Disclosure of this information should be justified by the necessity for timely resolution of error conditions. Guidelines to be considered could include well-known guidelines such as the OWASP Code Review Guide.
NOTE: A good example of an error message that could help adversaries attack an IACS would be to provide details of why authentication with the system failed.  For example stating invalid user or invalid password in the feedback would help an adversary attack the IACS and thus should not be provided.
</text>
  </threadedComment>
  <threadedComment ref="M62" dT="2021-07-12T12:31:43.18" personId="{8B43D859-7B64-45C7-AA2A-2557EF905637}" id="{F71AC645-6B5B-4260-A457-2213C2F50767}">
    <text>Text Ok, IACS need to be extended to cover more target systems/devices (for example home automation).</text>
  </threadedComment>
  <threadedComment ref="N62" dT="2021-07-14T09:52:50.43" personId="{8B43D859-7B64-45C7-AA2A-2557EF905637}" id="{F28BB12A-FDF8-4FDE-97CE-8A3DBA09AF8A}">
    <text>Scope is more than MCSR 1.0, scope should be broadened to all areas.</text>
  </threadedComment>
  <threadedComment ref="C65" personId="{AE44D5D6-5173-4819-8FAD-D2778AE7FDFD}" id="{FD896B67-8A64-4F5C-B065-B849DAB0DB56}">
    <text>Rationale:
This control focuses on communications protection at the session, versus packet, level. The intent of this control is to establish grounds for confidence at each end of a communications session in the ongoing identity of the other party and in the validity of the information being transmitted. For example, this control addresses man-in-the-middle attacks including session hijacking, insertion of false information into a session or replay attacks. Use of session integrity mechanisms can have a significant overhead and therefore their use should be considered in light of requirements for real-time communications.
Session hijacking and other man-in-the-middle attacks or injections of false information often take advantage of easy-to-guess session IDs (keys or other shared secrets) or use of session IDs that were not properly invalidated after session termination. Therefore the validity of a session authenticator should be tightly connected to the lifetime of a session. Employing randomness in the generation of unique session IDs helps to protect against brute-force attacks to determine future session IDs.</text>
  </threadedComment>
  <threadedComment ref="C70" personId="{AE44D5D6-5173-4819-8FAD-D2778AE7FDFD}" id="{770F7A79-0E14-4FDD-8FE0-2994E560311E}">
    <text>Rationale:
Audit information includes all information (for example, audit records, audit settings and audit reports) needed to successfully audit control system activity. The audit information is important for error correction, security breach recovery, investigations and related efforts. Mechanisms for enhanced protection against modification and deletion include the storage of audit information to hardware-enforced write-once media.</text>
  </threadedComment>
  <threadedComment ref="C76" personId="{AE44D5D6-5173-4819-8FAD-D2778AE7FDFD}" id="{42D1985F-B8B4-4D02-AA15-7BF923F19C0A}">
    <text>Rationale:
Embedded devices over their installed lifetime may have the need for installation of updates and upgrades.  There will be cases where embedded devices are supporting or executing essential functions as well.  When this is the case the embedded device needs to have mechanisms in place to support patching and updating without impacting the essential functions of high availability systems (see 4.2 CCSC 1 Support of essential functions).  One example for providing this capability would be to support redundancy within the embedded device.</text>
  </threadedComment>
  <threadedComment ref="C82" personId="{AE44D5D6-5173-4819-8FAD-D2778AE7FDFD}" id="{0D1917AD-761F-4F8B-9157-509990C70F9C}">
    <text>Rationale:
Host devices over their installed lifetime may have the need for installation of updates and upgrades.  There will be cases where host devices are supporting or executing essential functions as well.  When this is the case the host device should have mechanisms in place to support patching and updating without impacting the essential functions of high availability systems (see 4.2 CCSC 1 Support of essential functions).  One example for providing this capability would be to support redundancy within the host device.</text>
  </threadedComment>
  <threadedComment ref="M82" dT="2021-07-21T10:21:30.72" personId="{54276D56-5455-48F5-AD8F-0AE3EBE7D299}" id="{6D5E3A7E-CF95-44AB-9956-76DFC2B9B6AB}">
    <text>Management by PlayStore and appStore. Not applicable for Chinese stores (task of the developers and owner of the application)</text>
  </threadedComment>
  <threadedComment ref="M85" dT="2021-07-21T10:21:46.44" personId="{54276D56-5455-48F5-AD8F-0AE3EBE7D299}" id="{8A14364A-2FD5-4024-85EA-1384E31878BD}">
    <text>Management by PlayStore and appStore. Not applicable for Chinese stores (task of the developers and owner of the application)</text>
  </threadedComment>
  <threadedComment ref="C88" personId="{AE44D5D6-5173-4819-8FAD-D2778AE7FDFD}" id="{546ADE03-7635-4ABF-A791-7B1190096AD4}">
    <text>Rationale:
Network devices over their installed lifetime may require installation of updates and upgrades.  There will be cases where network devices are supporting or executing essential functions as well.  When this is the case the network device should have mechanisms in place to support patching and updating without impacting the essential functions of high availability systems (see 4.2 CCSC 1 Support of essential functions).  One example for providing this capability would be to support redundancy within the network device.</text>
  </threadedComment>
  <threadedComment ref="M88" dT="2021-07-21T10:41:54.88" personId="{54276D56-5455-48F5-AD8F-0AE3EBE7D299}" id="{C5204B67-68E6-4215-B8E4-1CF955EAD6BC}">
    <text>Declare the minimum use version for the app and support all newer versions starting with that. Block old versions with vulnerabilities</text>
  </threadedComment>
  <threadedComment ref="M91" dT="2021-07-21T10:22:06.99" personId="{54276D56-5455-48F5-AD8F-0AE3EBE7D299}" id="{F996765C-C3FE-44E7-B2AD-D571CDE01965}">
    <text>Management by PlayStore and appStore. Not applicable for Chinese stores (task of the developers and owner of the application)</text>
  </threadedComment>
  <threadedComment ref="C94" personId="{AE44D5D6-5173-4819-8FAD-D2778AE7FDFD}" id="{D9488E3E-4671-4711-99BE-3B9E4CFD2564}">
    <text xml:space="preserve">Rationale:
The purpose of tamper resistance mechanisms is to prevent an attempt by an attacker to execute an unauthorized physical action against an IACS device. Secondary to prevention, detection and response are essential should a tampering event occur.
Tamper resistance mechanisms are most effectively used in combinations to prevent access to any critical components. Tamper resistance consists of using specialized materials to make tampering of a device or module difficult. This can include such features as hardened enclosures, locks, encapsulation, or security screws. Putting in place tight airflow paths will increase the difficulty of probing the product internals.
The purpose of tamper evidence is to ensure that visible or electronic evidence remains when a tampering event occurs. Many simple evidence techniques are comprised of seals and tapes to make it obvious that there has been physical tampering. More sophisticated techniques include switches.
</text>
  </threadedComment>
  <threadedComment ref="C100" personId="{AE44D5D6-5173-4819-8FAD-D2778AE7FDFD}" id="{B37AD5F5-88B9-4CF5-AFB9-1DECF8C5DD7E}">
    <text xml:space="preserve">Rationale:
The purpose of tamper resistance mechanisms is to prevent an attempt by an attacker to execute an unauthorized physical action against an IACS device. Secondary to prevention, detection and response are essential should a tampering event occur.
Tamper resistance mechanisms are most effectively used in combinations to prevent access to any critical components. Tamper resistance consists of using specialized materials to make tampering of a device or module difficult. This can include such features as hardened enclosures, locks, encapsulation, or security screws. Putting in place tight airflow paths will increase the difficulty of probing the product internals.
The purpose of tamper evidence is to ensure that visible or electronic evidence remains when a tampering event occurs. Many simple evidence techniques are comprised of seals and tapes to make it obvious that there has been physical tampering. More sophisticated techniques include switches.
</text>
  </threadedComment>
  <threadedComment ref="C106" personId="{AE44D5D6-5173-4819-8FAD-D2778AE7FDFD}" id="{2D5C1AF5-F24F-4C5C-B9E0-87178E92A185}">
    <text xml:space="preserve">Rationale:
The purpose of tamper resistance mechanisms is to prevent an attempt by an attacker to execute an unauthorized physical action against an IACS device. Secondary to prevention, detection and response are essential should a tampering event occur.
Tamper resistance mechanisms are most effectively used in combinations to prevent access to any critical components. Tamper resistance consists of using specialized materials to make tampering of a device or module difficult. This can include such features as hardened enclosures, locks, encapsulation, or security screws. Putting in place tight airflow paths will increase the difficulty of probing the product internals.
The purpose of tamper evidence is to ensure that visible or electronic evidence remains when a tampering event occurs. Many simple evidence techniques are comprised of seals and tapes to make it obvious that there has been physical tampering. More sophisticated techniques include switches.
</text>
  </threadedComment>
  <threadedComment ref="C112" personId="{AE44D5D6-5173-4819-8FAD-D2778AE7FDFD}" id="{762F817D-8CFD-43DC-878A-2A01D5D81167}">
    <text xml:space="preserve">Rationale:
In order for a component to be able to validate the authenticity and integrity of the hardware, software, and data provided by the product supplier, it must possess a trusted source of data to perform the validation process.  This trusted source of data is referred to as the “root of trust” for the system.  This trusted source of data may be a set of cryptographic hashes of “known good” software, or it may be the public portion of an asymmetric cryptographic key pair to be used in the validation of cryptographic signatures.  This trusted data is often used to validate critical software, firmware, and data prior to booting the firmware or operating system of a component, in order to validate that the component will boot into a “known good” state in which all security mechanisms are known to be operational and uncompromised.  “Root of trust” data is often protected via hardware mechanisms, preventing any modification of the data during normal operations of the component.  Modification of product supplier root of trust data is typically limited to the product supplier’s provisioning process, where the product supplier has a trusted process to perform the provisioning of the data.  Instead, information to be validated against the root of trust is submitted to the validation process through a hardware or software API which performs the validation and returns the results without exposing the protected data.  </text>
  </threadedComment>
  <threadedComment ref="M112" dT="2021-07-12T12:38:51.12" personId="{8B43D859-7B64-45C7-AA2A-2557EF905637}" id="{11D3BE3C-A396-4E60-BF43-71E79EE9A362}">
    <text>Platform may allow or not to allow installing roots of trust.</text>
  </threadedComment>
  <threadedComment ref="C115" personId="{AE44D5D6-5173-4819-8FAD-D2778AE7FDFD}" id="{C0830A86-1F8A-4311-8B23-5208FE4CF7B2}">
    <text xml:space="preserve">Rationale:
In order for a component to be able to validate the authenticity and integrity of the hardware, software, and data provided by the product supplier, it must possess a trusted source of data to perform the validation process.  This trusted source of data is referred to as the “root of trust” for the system.  This trusted source of data may be a set of cryptographic hashes of “known good” software, or it may be the public portion of an asymmetric cryptographic key pair to be used in the validation of cryptographic signatures.  This trusted data is often used to validate critical software, firmware, and data prior to booting the firmware or operating system of a component, in order to validate that the component will boot into a “known good” state in which all security mechanisms are known to be operational and uncompromised. “Root of trust” data can be protected by software or hardware implemented mechanisms to prevent any modification of the data during normal operations of the component. Modification of product supplier root of trust data is typically limited to the product supplier’s provisioning process, where the product supplier has a trusted process to perform the provisioning of the data.  Instead, information to be validated against the root of trust is submitted to the validation process through a hardware or software API which performs the validation and returns the results without exposing the protected data.  </text>
  </threadedComment>
  <threadedComment ref="M115" dT="2021-07-21T10:26:21.50" personId="{54276D56-5455-48F5-AD8F-0AE3EBE7D299}" id="{E401AE75-D659-4D6F-BD82-4A85AB52724B}">
    <text>MP-7.4 and 7.5 are not applicable for this point</text>
  </threadedComment>
  <threadedComment ref="C118" personId="{AE44D5D6-5173-4819-8FAD-D2778AE7FDFD}" id="{6DB4BC3F-6655-4E2D-B95F-076300210C32}">
    <text xml:space="preserve">Rationale:
In order for a component to be able to validate the authenticity and integrity of the hardware, software, and data provided by the product supplier, it must possess a trusted source of data to perform the validation process.  This trusted source of data is referred to as the “root of trust” for the system.  This trusted source of data may be a set of cryptographic hashes of “known good” software, or it may be the public portion of an asymmetric cryptographic key pair to be used in the validation of cryptographic signatures.  This trusted data is often used to validate critical software, firmware, and data prior to booting the firmware or operating system of a component, in order to validate that the component will boot into a “known good” state in which all security mechanisms are known to be operational and uncompromised.  “Root of trust” data is often protected by software or hardware implemented mechanisms, to prevent any modification of the data during normal operations of the component.  Modification of product supplier root of trust data is typically limited to the product supplier’s provisioning process, where the product supplier has a trusted process to perform the provisioning of the data.  Instead, information to be validated against the root of trust is submitted to the validation process through a hardware or software API which performs the validation and returns the results without exposing the protected data.  </text>
  </threadedComment>
  <threadedComment ref="C121" personId="{AE44D5D6-5173-4819-8FAD-D2778AE7FDFD}" id="{03CE0296-ED2B-4E54-9CCB-BB80C1ABD5BE}">
    <text xml:space="preserve">Rationale:
Product suppliers have established mechanisms to ensure that the software and firmware on their components is authentic, and the integrity of that software and firmware has not been compromised. This allows the product supplier to provide the asset owner with a “known good” state from which to operate.  However, many product suppliers also provide mechanisms for asset owners to extend the functionality of their devices through the use of mobile code, user programs, or other such means.  In order to protect the security of the component, it is important that these extensions to the component’s functionality also be validated to ensure that they are authorized, and that the asset owner has approved of their origins.
In order to perform these validations the component must contain data that provides a way to differentiate between valid and invalid origins.  The list of valid and invalid origins will differ from asset owner to asset owner, and it is unlikely that a product supplier will have a complete list of every possible valid origin at time of manufacture.  Therefore it is important that the product supplier provide a way for the asset owner to securely provision their own “roots of trust” which provide the ability to distinguish between origins allowed by the asset owner’s security policy, and those that are not.  The authenticity and integrity of these “roots of trust” must be protected so that malicious actors cannot add additional roots of trust that grant them the ability to operate on the component.     
A root of trust can also be used as a basis communications security, such as communications integrity required by CR 3.1 – Communication integrity or communications confidentiality required by CR 4.1 – Information confidentiality.  
Requirements such as EDR 2.4 – Mobile code require the component to complete authenticity checks on mobile code prior to the execution of mobile code.  The roots of trust provided by this requirement provide the data necessary to validate the origin and integrity of mobile code, allowing the component to independently determine if the code is allowed to execute.
</text>
  </threadedComment>
  <threadedComment ref="M121" dT="2021-07-12T12:44:23.32" personId="{8B43D859-7B64-45C7-AA2A-2557EF905637}" id="{B2BE8ACC-75C2-4630-8732-12E54C554EEC}">
    <text>Same as HDR 3.12</text>
  </threadedComment>
  <threadedComment ref="C125" personId="{AE44D5D6-5173-4819-8FAD-D2778AE7FDFD}" id="{54EF52B8-53F1-4BC3-9FC5-33B629522D8C}">
    <text>Rationale:
Product suppliers have established mechanisms to ensure that the software and firmware on their components is authentic, and the integrity of that software and firmware has not been compromised. This allows the product supplier to provide the asset owner with a “known good” state from which to operate.  However, many product suppliers also provide mechanisms for asset owners to extend the functionality of their devices through the use of mobile code, user programs, or other such means.  In order to protect the security of the component, it is important that these extensions to the component’s functionality also be validated to ensure that they are authorized, and that the asset owner has approved of their origins.
In order perform these validations the component must contain data that provides a way to differentiate between valid and invalid origins.  The list of valid and invalid origins will differ from asset owner to asset owner, and it is unlikely that a product supplier will have a complete list of every possible valid origin at time of manufacture.  Therefore it is important that the product supplier provide a way for the asset owner to securely provision their own “roots of trust” which provide the ability to distinguish between origins allowed by the asset owner’s security policy, and those that are not.  The authenticity and integrity of these “roots of trust” must be protected so that malicious actors cannot add additional roots of trust that grant them the ability to operate on the component.     
Requirements such as EDR 2.4 – Mobile code require the component to complete authenticity checks on mobile code prior to the execution of mobile code.  The roots of trust provided by this requirement provide the data necessary to validate the origin and integrity of mobile code, allowing the component to independently determine if the code is allowed to execute.
A root of trust can also be used as a basis communications security, such as communications integrity required by CR 3.1 – Communication integrity or communications confidentiality required by CR 4.1 – Information confidentiality.</text>
  </threadedComment>
  <threadedComment ref="C129" personId="{AE44D5D6-5173-4819-8FAD-D2778AE7FDFD}" id="{0A9BA775-0EC7-4693-A5E8-3705AB43ADE2}">
    <text>Rationale:
Product suppliers have established mechanisms to ensure that the software and firmware on their components is authentic, and the integrity of that software and firmware has not been compromised. This allows the product supplier to provide the asset owner with a “known good” state from which to operate.  However, many product suppliers also provide mechanisms for asset owners to extend the functionality of their devices through the use of mobile code, user programs, or other such means.  In order to protect the security of the component, it is important that these extensions to the component’s functionality also be validated to ensure that they are authorized, and that the asset owner has approved of their origins.
In order to perform these validations the component must contain data that provides a way to differentiate between valid and invalid origins.  The list of valid and invalid origins will differ from asset owner to asset owner, and it is unlikely that a product supplier will have a complete list of every possible valid origin at time of manufacture.  Therefore it is important that the product supplier provide a way for the asset owner to securely provision their own “roots of trust” which provide the ability to distinguish between origins allowed by the asset owner’s security policy, and those that are not.  The authenticity and integrity of these “roots of trust” must be protected so that malicious actors cannot add additional roots of trust that grant them the ability to operate on the component.     
Requirements such as NDR 2.4 – Mobile coderequire the component to complete authenticity checks on mobile code prior to the execution of mobile code.  The roots of trust provided by this requirement provide the data necessary to validate the origin and integrity of mobile code, allowing the component to independently determine if the code is allowed to execute.
A root of trust is used to provide communications security, such as communications integrity required by CR 3.1 – Communication integrity or communications confidentiality required by CR 4.1 – Information confidentiality.</text>
  </threadedComment>
  <threadedComment ref="C133" personId="{AE44D5D6-5173-4819-8FAD-D2778AE7FDFD}" id="{9727F1D7-FAF5-49DC-B1ED-15C344A51022}">
    <text>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ext>
  </threadedComment>
  <threadedComment ref="C134" personId="{AE44D5D6-5173-4819-8FAD-D2778AE7FDFD}" id="{D3A3235A-A2A4-4080-9379-35B3FD32D048}">
    <text>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ext>
  </threadedComment>
  <threadedComment ref="C135" personId="{AE44D5D6-5173-4819-8FAD-D2778AE7FDFD}" id="{D84128BC-42A7-4336-AF0F-9B787963236E}">
    <text>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ext>
  </threadedComment>
  <threadedComment ref="C141" personId="{AE44D5D6-5173-4819-8FAD-D2778AE7FDFD}" id="{EDE3A1CC-1675-4A8F-9697-C52DBB384449}">
    <text>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the boot process, to ensure that the component does not boot into an insecure or invalid operating state that could damage the component or provide a path for a malicious actor to gain access to additional components, assets, or data.</text>
  </threadedComment>
  <threadedComment ref="C142" personId="{AE44D5D6-5173-4819-8FAD-D2778AE7FDFD}" id="{94F2B016-9C2C-4AF4-9BC7-9DF5CB3D3218}">
    <text>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the boot process, to ensure that the component does not boot into an insecure or invalid operating state that could damage the component or provide a path for a malicious actor to gain access to additional components, assets, or data.</text>
  </threadedComment>
  <threadedComment ref="C143" personId="{AE44D5D6-5173-4819-8FAD-D2778AE7FDFD}" id="{AC7FF905-8052-46C6-A6D6-11114B46FA47}">
    <text>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the boot process, to ensure that the component does not boot into an insecure or invalid operating state that could damage the component or provide a path for a malicious actor to gain access to additional components, assets, or data.</text>
  </threadedComment>
  <threadedComment ref="C149" personId="{AE44D5D6-5173-4819-8FAD-D2778AE7FDFD}" id="{6C14C8FA-4FE0-484C-9AA7-B6CBE63DCE98}">
    <text>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ext>
  </threadedComment>
  <threadedComment ref="M149" dT="2021-07-12T12:43:30.35" personId="{8B43D859-7B64-45C7-AA2A-2557EF905637}" id="{2BE56458-4239-4EA5-9A9D-9A1AA7B94194}">
    <text>NA. Mobile application does not manage boot of the device.</text>
  </threadedComment>
  <threadedComment ref="C150" personId="{AE44D5D6-5173-4819-8FAD-D2778AE7FDFD}" id="{ABC6C5DF-A1BF-4998-928D-581A4B408082}">
    <text>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ext>
  </threadedComment>
  <threadedComment ref="C151" personId="{AE44D5D6-5173-4819-8FAD-D2778AE7FDFD}" id="{9ACE3C0C-8FCE-4B3F-8FBA-C06184883577}">
    <text>Rationale:
In order to make assurances to an asset owner that a component’s security functionality has not been compromised, it is necessary to ensure that the component’s software and firmware has not been tampered with, and that the software and firmware is valid to execute on the component.  Therefore the component must perform checks to validate the integrity and authenticity of the component’s firmware and/or software prior to use during the boot process, to ensure that the component does not boot into an insecure or invalid operating state that could damage the component or provide a path for a malicious actor to gain access to additional components, assets, or data.</text>
  </threadedComment>
</ThreadedComments>
</file>

<file path=xl/threadedComments/threadedComment5.xml><?xml version="1.0" encoding="utf-8"?>
<ThreadedComments xmlns="http://schemas.microsoft.com/office/spreadsheetml/2018/threadedcomments" xmlns:x="http://schemas.openxmlformats.org/spreadsheetml/2006/main">
  <threadedComment ref="F2" personId="{AE44D5D6-5173-4819-8FAD-D2778AE7FDFD}" id="{9CDA21A8-D0DD-4DEE-9FB5-9ED91EED2FE6}">
    <text>Rationale:
In these columns
 the mappings to SL levels are given (corresponding to table B.1 in Annex B)</text>
  </threadedComment>
  <threadedComment ref="C10" personId="{AE44D5D6-5173-4819-8FAD-D2778AE7FDFD}" id="{3B13F792-0036-4EA6-992B-ED376BAE8D4D}">
    <text xml:space="preserve">Rationale:
The decision whether a given information should be protected or not depends on the context and cannot be made at product design. However, the fact that an organization limits access to information by configuring explicit read authorizations in the control system is an indicator that this information should be protected by the organization. Thus, all information for which the component supports the capability to assign explicit read authorizations should be considered potentially sensitive and thus the component should also provide the capability to protect its confidentiality.
Confidentiality of information in transit requires system level capabilities which the component should be able to support.
For confidentiality protection, 8.5 CR 4.3 – Use of cryptography provides further requirements.
</text>
  </threadedComment>
  <threadedComment ref="M11" dT="2021-07-12T12:45:49.78" personId="{8B43D859-7B64-45C7-AA2A-2557EF905637}" id="{1188A3E8-C6BF-448F-B622-D98F618DFB0F}">
    <text>Check 3-3 text</text>
  </threadedComment>
  <threadedComment ref="C14" personId="{AE44D5D6-5173-4819-8FAD-D2778AE7FDFD}" id="{F1A01C3F-7C48-453F-AF42-D5082E58CE77}">
    <text xml:space="preserve">Rationale:
Removal of a control system component from active service should not provide the opportunity for unintentional release of information for which explicit read authorization is supported. An example of such information can include authentication information and network configuration information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
</text>
  </threadedComment>
  <threadedComment ref="C23" personId="{AE44D5D6-5173-4819-8FAD-D2778AE7FDFD}" id="{41CAFB1B-270F-4013-BA0D-7731A0F1E6D0}">
    <text>Rationale:
The selection of cryptographic protection should be based on a threat and risk analysis which covers the value of the information being protected, the consequences of the confidentiality and integrity of the information being breached, the time period during which the information is confidential and control system operating constraints. This can involve either information at rest, in transit, or both. Note that backups are an example of information at rest, and should be considered as part of a data confidentiality and integrity assessment process. The control system product supplier should document the practices and procedures relating to cryptographic key establishment and management. The control system should utilize established and tested encryption and hash algorithms, such as the advanced encryption standard (AES) and the secure hash algorithm (SHA) series, and key sizes based on an assigned standard. Key generation needs to be performed using an effective random number generator. The security policies and procedures for key management need to address periodic key changes, key destruction, key distribution and encryption key backup in accordance with defined standards. Generally accepted practices and recommendations can be found in documents such as NIST SP 800-57, Recommendation for Key Management, Part 1: General. Implementation requirements can be found for example in FIPS 140-2, Security Requirements for Cryptographic Modules or ISO/IEC 19790, Information technology – Security techniques – Security requirements for cryptographic modules. 
This CR, along with 5.10, CR 1.8 – Public key infrastructure certificates may be applicable when meeting many other requirements defined within this document.</text>
  </threadedComment>
  <threadedComment ref="M23" dT="2021-07-14T10:35:02.36" personId="{8B43D859-7B64-45C7-AA2A-2557EF905637}" id="{7EA1F4F3-4ABD-4F56-AD6C-F63A8850A7E8}">
    <text>export compliance checks needs to be documented</text>
  </threadedComment>
</ThreadedComments>
</file>

<file path=xl/threadedComments/threadedComment6.xml><?xml version="1.0" encoding="utf-8"?>
<ThreadedComments xmlns="http://schemas.microsoft.com/office/spreadsheetml/2018/threadedcomments" xmlns:x="http://schemas.openxmlformats.org/spreadsheetml/2006/main">
  <threadedComment ref="F2" personId="{AE44D5D6-5173-4819-8FAD-D2778AE7FDFD}" id="{A2A1AA2E-59C1-4705-B037-C093C792EE67}">
    <text>Rationale:
In these columns
 the mappings to SL levels are given (corresponding to table B.1 in Annex B)</text>
  </threadedComment>
  <threadedComment ref="C10" personId="{AE44D5D6-5173-4819-8FAD-D2778AE7FDFD}" id="{9C35DFB5-6877-4080-8036-1510BCCF67FC}">
    <text xml:space="preserve">Rationale:
Network segmentation is used by organizations for a variety of purposes, including cyber security. The main reasons for segmenting networks are to reduce the exposure, or ingress, of network traffic into a control system and reduce the spread, or egress, of network traffic from a control system. This improves overall system response and reliability as well as provides a measure of cyber security protection. It also allows different network segments within the control system, including critical control systems and safety-related systems, to be segmented from other systems for an additional level of protection. 
Access from the control system to the World Wide Web should be clearly justified based on control system operational requirements. 
Network segmentation and the level of protection it provides will vary greatly depending on the overall network architecture used by an asset owner in their facility and even system integrators within their control systems. Logically segmenting networks based on their functionality provides some measure of protection, but may still lead to single-points-of-failure if a network device is compromised. Physically segmenting networks provides another level of protection by removing that single-point-of-failure case, but will lead to a more complex and costly network design. These trade-offs will need to be evaluated during the network design process (see ISA 62443 2 1 (99.02.01)). 
In response to an incident, it may be necessary to break the connections between different network segments. In that event, the services necessary to support essential operations should be maintained in such a way that the devices can continue to operate properly and/or shutdown in an orderly manner. This may require that some servers may need to be duplicated on the control system network to support normal network features, for example dynamic host configuration protocol (DHCP), domain name service (DNS) or local CAs. It may also mean that some critical control systems and safety-related systems be designed from the beginning to be completely isolated from other networks. 
</text>
  </threadedComment>
  <threadedComment ref="C13" personId="{AE44D5D6-5173-4819-8FAD-D2778AE7FDFD}" id="{7405215B-B656-4333-A1A9-0110951FA2E4}">
    <text>Rationale:
Any connections to outside each security zone should occur through managed interfaces consisting of appropriate boundary protection devices (for example, proxies, gateways, routers, firewalls, unidirectional gateways, guards and encrypted tunnels) arranged in an effective architecture (for example, firewalls protecting application gateways residing in a DMZ). Control system boundary protections at any designated alternate processing sites should provide the same levels of protection as that of the primary site.</text>
  </threadedComment>
  <threadedComment ref="C25" personId="{AE44D5D6-5173-4819-8FAD-D2778AE7FDFD}" id="{11A23016-CB52-47FD-886D-91280F3A69B9}">
    <text>Rationale:
General purpose, person-to-person communications systems include but are not limited to: email systems, forms of social media (Twitter, Facebook, picture galleries, etc.) or any message systems that permit the transmission of any type of executable file. These systems are usually utilized for private purposes that are not related to control system operations, and therefore the risks imposed by these systems normally outweigh any perceived benefit.
These types of general purpose communications systems are commonly used as attack vectors to introduce malware to the control system, pass information for which read authorization exists to locations external to the control system and introduce excessive network loading that can be used to create security problems or launch attacks on the control system. 
Network devices could realize such restrictions, for example, by blocking specific communications based on port numbers and source and/or target address as well as more in depth checks by application layer firewalls.</text>
  </threadedComment>
</ThreadedComments>
</file>

<file path=xl/threadedComments/threadedComment7.xml><?xml version="1.0" encoding="utf-8"?>
<ThreadedComments xmlns="http://schemas.microsoft.com/office/spreadsheetml/2018/threadedcomments" xmlns:x="http://schemas.openxmlformats.org/spreadsheetml/2006/main">
  <threadedComment ref="F2" personId="{AE44D5D6-5173-4819-8FAD-D2778AE7FDFD}" id="{EE1EB1DB-679F-4633-815F-1B8688E54686}">
    <text>Rationale:
In these columns
 the mappings to SL levels are given (corresponding to table B.1 in Annex B)</text>
  </threadedComment>
  <threadedComment ref="C10" personId="{AE44D5D6-5173-4819-8FAD-D2778AE7FDFD}" id="{2E21E41A-1855-4E60-9EAC-5806F9EEDB88}">
    <text xml:space="preserve">Rationale:
The applications and devices may generate audit records about events occurring in that application or device (see 6.10). Access to these audit logs is necessary to support filtering audit logs, identifying and removing information that is redundant, reviewing and reporting activity during after-the-fact investigations of security incidents. In general, audit reduction and report generation should be performed on a separate information system. Manual access to the audit records (such as, screen views or printouts) is sufficient for meeting the base requirement, but is insufficient for higher SLs. Programmatic access is commonly used to provide the audit log information to analysis mechanisms such as security information and event management (SIEM). See relevant SRs in Clauses 5, 6 and 9 regarding the creation of, protection of and access to audit logs.
</text>
  </threadedComment>
  <threadedComment ref="C16" personId="{AE44D5D6-5173-4819-8FAD-D2778AE7FDFD}" id="{48BB5BCB-CC4E-4719-990E-7C9667912F94}">
    <text xml:space="preserve">Rationale:
Control system monitoring capability can be achieved through a variety of tools and techniques (for example, IDS, intrusion prevention system (IPS), protection from malicious code mechanisms and network monitoring mechanisms). As attacks become more sophisticated, these monitoring tools and techniques will need to become more sophisticated as well, including for example behavior-based IDS/IPS. 
Monitoring devices should be strategically deployed within the control system (for example, at selected perimeter locations and near server farms supporting critical applications) to collect essential information. Monitoring mechanisms may also be deployed at ad hoc locations within the control system to track specific transactions. 
Monitoring should include appropriate reporting mechanisms to allow for a timely response to events. To keep the reporting focused and the amount of reported information to a level that can be processed by the recipients, mechanisms such as SIEM are commonly applied to correlate individual events into aggregate reports that establish a larger context in which the raw events occurred.
</text>
  </threadedComment>
</ThreadedComments>
</file>

<file path=xl/threadedComments/threadedComment8.xml><?xml version="1.0" encoding="utf-8"?>
<ThreadedComments xmlns="http://schemas.microsoft.com/office/spreadsheetml/2018/threadedcomments" xmlns:x="http://schemas.openxmlformats.org/spreadsheetml/2006/main">
  <threadedComment ref="F2" personId="{AE44D5D6-5173-4819-8FAD-D2778AE7FDFD}" id="{267B919D-0F99-4F9E-A426-512427E2F000}">
    <text>Rationale:
In these columns
 the mappings to SL levels are given (corresponding to table B.1 in Annex B)</text>
  </threadedComment>
  <threadedComment ref="C10" personId="{AE44D5D6-5173-4819-8FAD-D2778AE7FDFD}" id="{293291DA-9153-4A6C-8B20-B592C3E4C22E}">
    <text>Rationale:
Components may be subjected to different forms of DoS situations. When these occur the component should be designed in such a manner that it maintains essential functions necessary for continued safe operations while in a degraded mode.</text>
  </threadedComment>
  <threadedComment ref="C16" personId="{AE44D5D6-5173-4819-8FAD-D2778AE7FDFD}" id="{527A22FC-6D2D-4135-8B95-79838FD49E1D}">
    <text>Rationale:
Resource management (for example, network segmentation or priority schemes) prevents a lower-priority software process from delaying or interfering with the control system servicing any higher-priority software process. For example, initiating network scans, patching and/or antivirus checks on an operating system can cause severe disruption to normal operations. Traffic rate limiting schemes should be considered as a mitigation technique.</text>
  </threadedComment>
  <threadedComment ref="C19" personId="{AE44D5D6-5173-4819-8FAD-D2778AE7FDFD}" id="{F196BCEA-72ED-48DE-9BF6-D755123DE4F6}">
    <text xml:space="preserve">Rationale:
The availability of up-to-date backups is essential for recovery from a control system failure and/or mis-configuration. Automating this function ensures that all required files are captured, reducing operator overhead.
When designing to support a backup capability, consideration should be given to information that will be stored in backups. Some of this information may contain personally identifiable information (PII), cryptographic keys and other information that is protected through security controls while part of the system. Once the information is placed into a backup it most likely will not have the same controls in place to protect it. Thus the component backup ability needs to include the mechanisms to support the necessary protection of the information that is contained in the backup. This may include encryption of the backup, encryption of the sensitive data as part of the backup procedure or not including the sensitive information as part of the backup. If the backup is encrypted it is important not to include the cryptographic keys as part of the backup but to backup the cryptographic keys as part of a separate more secure backup procedure.
</text>
  </threadedComment>
  <threadedComment ref="C25" personId="{AE44D5D6-5173-4819-8FAD-D2778AE7FDFD}" id="{ECB72FEE-B854-46F0-A382-38512F7403E0}">
    <text>Rationale:
Component recovery and reconstitution to a known secure state means that all system parameters (either default or configurable) are set to secure values, security-critical patches are reinstalled, security-related configuration settings are reestablished, system documentation and operating procedures are available, components are reinstalled and configured with established settings, information from the most recent, known secure backups is loaded and the system is fully tested and functional.</text>
  </threadedComment>
  <threadedComment ref="C31" personId="{AE44D5D6-5173-4819-8FAD-D2778AE7FDFD}" id="{B1A4E0ED-2B3F-4F1A-8DC4-DB0D909D05F4}">
    <text xml:space="preserve">Rationale:
These configuration settings are the adjustable parameters of the control system components. By default the component should be configured to the recommended settings. In order for a component to detect and correct any deviations from the approved and/or recommended configuration settings, the component needs to support monitoring and control of changes to the configuration settings in accordance with security policies and procedures. </text>
  </threadedComment>
  <threadedComment ref="C32" personId="{AE44D5D6-5173-4819-8FAD-D2778AE7FDFD}" id="{9FF9B5A0-C7E3-4B54-9F43-3C50D3C540F1}">
    <text xml:space="preserve">Rationale:
These configuration settings are the adjustable parameters of the control system components. By default the component should be configured to the recommended settings. In order for a component to detect and correct any deviations from the approved and/or recommended configuration settings, the component needs to support monitoring and control of changes to the configuration settings in accordance with security policies and procedures. </text>
  </threadedComment>
  <threadedComment ref="M35" dT="2021-07-12T12:53:13.77" personId="{8B43D859-7B64-45C7-AA2A-2557EF905637}" id="{A1C4CBB2-3228-4EA1-B5F4-18B6643921DE}">
    <text>In mobila application context no use case found.</text>
  </threadedComment>
  <threadedComment ref="C38" personId="{AE44D5D6-5173-4819-8FAD-D2778AE7FDFD}" id="{871DF686-BD26-4FB3-BAD1-2A01DB9D966B}">
    <text>Rationale:
Components are capable of providing a wide variety of functions and services. Some of the functions and services provided may not be necessary to support IACS functionality. Therefore, by default, functions beyond a baseline configuration should be disabled. Additionally, it is sometimes convenient to provide multiple services from a single component of a control system, but doing so increases the risk compared to limiting the services provided by any one component.</text>
  </threadedComment>
  <threadedComment ref="C41" personId="{AE44D5D6-5173-4819-8FAD-D2778AE7FDFD}" id="{1F5CF43E-6799-4522-959C-2EAAA954C5B4}">
    <text>Rationale:
Components may bring their own set of components into the overall control system. When this is the case then those components need to provide a mechanism to augment the overall component inventory which is compatible with ISA‑62443‑2‑4 [8] SP.06.02.</text>
  </threadedComment>
  <threadedComment ref="M41" dT="2021-07-12T12:56:26.01" personId="{8B43D859-7B64-45C7-AA2A-2557EF905637}" id="{5C741D23-A07D-4181-87A4-89872FB5A9B5}">
    <text>In mobile application this could be plugin management/information view.</text>
  </threadedComment>
</ThreadedComments>
</file>

<file path=xl/threadedComments/threadedComment9.xml><?xml version="1.0" encoding="utf-8"?>
<ThreadedComments xmlns="http://schemas.microsoft.com/office/spreadsheetml/2018/threadedcomments" xmlns:x="http://schemas.openxmlformats.org/spreadsheetml/2006/main">
  <threadedComment ref="F2" personId="{AE44D5D6-5173-4819-8FAD-D2778AE7FDFD}" id="{E752B30E-9CDE-4A31-BF6C-79F0B81F1DD4}">
    <text>Rationale:
In these columns
 the mappings to SL levels are given (corresponding to table B.1 in Annex B)</text>
  </threadedComment>
  <threadedComment ref="C10" personId="{AE44D5D6-5173-4819-8FAD-D2778AE7FDFD}" id="{EDAD4CD0-6060-4F8E-8E8B-F9706EB8658A}">
    <text>Rationale:
Components may be subjected to different forms of DoS situations. When these occur the component should be designed in such a manner that it maintains essential functions necessary for continued safe operations while in a degraded mode.</text>
  </threadedComment>
  <threadedComment ref="C20" personId="{AE44D5D6-5173-4819-8FAD-D2778AE7FDFD}" id="{8BEB8A44-82CF-42B0-B32A-AB227C109D59}">
    <text>Rationale:
Components may be subjected to different forms of DoS situations. When these occur the component should be designed in such a manner that it maintains essential functions necessary for continued safe operations while in a degraded mode.</text>
  </threadedComment>
  <threadedComment ref="C23" personId="{AE44D5D6-5173-4819-8FAD-D2778AE7FDFD}" id="{54CAFFC6-3E90-444C-9041-E82305ACCC07}">
    <text>Rationale:
Components may be subjected to different forms of DoS situations. When these occur the component should be designed in such a manner that it maintains essential functions necessary for continued safe operations while in a degraded mode.</text>
  </threadedComment>
  <threadedComment ref="C26" personId="{AE44D5D6-5173-4819-8FAD-D2778AE7FDFD}" id="{1BEDA85C-CB3B-4250-946F-7685B7C6982E}">
    <text>Rationale:
Components may be subjected to different forms of DoS situations. When these occur the component should be designed in such a manner that it maintains essential functions necessary for continued safe operations while in a degraded mode.</text>
  </threadedComment>
</ThreadedComments>
</file>

<file path=xl/threadedComments/threadedComment10.xml><?xml version="1.0" encoding="utf-8"?>
<ThreadedComments xmlns="http://schemas.microsoft.com/office/spreadsheetml/2018/threadedcomments" xmlns:x="http://schemas.openxmlformats.org/spreadsheetml/2006/main">
  <threadedComment ref="F2" personId="{AE44D5D6-5173-4819-8FAD-D2778AE7FDFD}" id="{6FF10DC0-A0E2-4E88-8F80-849DDDBEFD9A}">
    <text>Rationale:
In these columns
 the mappings to SL levels are given (corresponding to table B.1 in Annex B)</text>
  </threadedComment>
</ThreadedComments>
</file>

<file path=xl/threadedComments/threadedComment11.xml><?xml version="1.0" encoding="utf-8"?>
<ThreadedComments xmlns="http://schemas.microsoft.com/office/spreadsheetml/2018/threadedcomments" xmlns:x="http://schemas.openxmlformats.org/spreadsheetml/2006/main">
  <threadedComment ref="F2" personId="{AE44D5D6-5173-4819-8FAD-D2778AE7FDFD}" id="{6F4D5BD9-D7E5-49CA-9A2F-A9FF10A16109}">
    <text>Rationale:
In these columns
 the mappings to SL levels are given (corresponding to table B.1 in Annex B)</text>
  </threadedComment>
</ThreadedComments>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7.bin"/><Relationship Id="rId1" Type="http://schemas.openxmlformats.org/officeDocument/2006/relationships/hyperlink" Target="https://search.abb.com/library/Download.aspx?DocumentID=9ADB006607&amp;LanguageCode=en&amp;DocumentPartId=&amp;Action=Launch"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6.bin"/><Relationship Id="rId1" Type="http://schemas.openxmlformats.org/officeDocument/2006/relationships/printerSettings" Target="../printerSettings/printerSettings8.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9.bin"/><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8.bin"/><Relationship Id="rId1" Type="http://schemas.openxmlformats.org/officeDocument/2006/relationships/printerSettings" Target="../printerSettings/printerSettings10.bin"/><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9.bin"/><Relationship Id="rId1" Type="http://schemas.openxmlformats.org/officeDocument/2006/relationships/printerSettings" Target="../printerSettings/printerSettings11.bin"/><Relationship Id="rId6" Type="http://schemas.microsoft.com/office/2017/10/relationships/threadedComment" Target="../threadedComments/threadedComment5.xm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0.bin"/><Relationship Id="rId1" Type="http://schemas.openxmlformats.org/officeDocument/2006/relationships/printerSettings" Target="../printerSettings/printerSettings12.bin"/><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11.bin"/><Relationship Id="rId1" Type="http://schemas.openxmlformats.org/officeDocument/2006/relationships/printerSettings" Target="../printerSettings/printerSettings13.bin"/><Relationship Id="rId6" Type="http://schemas.microsoft.com/office/2017/10/relationships/threadedComment" Target="../threadedComments/threadedComment7.xm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customProperty" Target="../customProperty12.bin"/><Relationship Id="rId1" Type="http://schemas.openxmlformats.org/officeDocument/2006/relationships/printerSettings" Target="../printerSettings/printerSettings14.bin"/><Relationship Id="rId6" Type="http://schemas.microsoft.com/office/2017/10/relationships/threadedComment" Target="../threadedComments/threadedComment8.xm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5.bin"/><Relationship Id="rId5" Type="http://schemas.microsoft.com/office/2017/10/relationships/threadedComment" Target="../threadedComments/threadedComment9.xml"/><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13.bin"/><Relationship Id="rId1" Type="http://schemas.openxmlformats.org/officeDocument/2006/relationships/printerSettings" Target="../printerSettings/printerSettings16.bin"/><Relationship Id="rId6" Type="http://schemas.microsoft.com/office/2017/10/relationships/threadedComment" Target="../threadedComments/threadedComment10.xm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15.bin"/><Relationship Id="rId1" Type="http://schemas.openxmlformats.org/officeDocument/2006/relationships/printerSettings" Target="../printerSettings/printerSettings18.bin"/><Relationship Id="rId6" Type="http://schemas.microsoft.com/office/2017/10/relationships/threadedComment" Target="../threadedComments/threadedComment11.xml"/><Relationship Id="rId5" Type="http://schemas.openxmlformats.org/officeDocument/2006/relationships/comments" Target="../comments11.xml"/><Relationship Id="rId4"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FA67-817B-448B-9FC5-50538B6FEABE}">
  <dimension ref="A1:A8"/>
  <sheetViews>
    <sheetView workbookViewId="0">
      <selection activeCell="A3" sqref="A3"/>
    </sheetView>
  </sheetViews>
  <sheetFormatPr defaultColWidth="8.6328125" defaultRowHeight="14.5" x14ac:dyDescent="0.35"/>
  <cols>
    <col min="1" max="1" width="67.6328125" customWidth="1"/>
  </cols>
  <sheetData>
    <row r="1" spans="1:1" ht="101.5" x14ac:dyDescent="0.35">
      <c r="A1" s="5" t="s">
        <v>0</v>
      </c>
    </row>
    <row r="2" spans="1:1" ht="58" x14ac:dyDescent="0.35">
      <c r="A2" s="5" t="s">
        <v>1</v>
      </c>
    </row>
    <row r="3" spans="1:1" ht="261" x14ac:dyDescent="0.35">
      <c r="A3" s="5" t="s">
        <v>2</v>
      </c>
    </row>
    <row r="4" spans="1:1" ht="58" x14ac:dyDescent="0.35">
      <c r="A4" s="5" t="s">
        <v>3</v>
      </c>
    </row>
    <row r="5" spans="1:1" ht="130.5" x14ac:dyDescent="0.35">
      <c r="A5" s="5" t="s">
        <v>4</v>
      </c>
    </row>
    <row r="6" spans="1:1" x14ac:dyDescent="0.35">
      <c r="A6" s="51" t="s">
        <v>5</v>
      </c>
    </row>
    <row r="7" spans="1:1" ht="145" x14ac:dyDescent="0.35">
      <c r="A7" s="5" t="s">
        <v>6</v>
      </c>
    </row>
    <row r="8" spans="1:1" x14ac:dyDescent="0.35">
      <c r="A8" s="5"/>
    </row>
  </sheetData>
  <pageMargins left="0.7" right="0.7" top="0.75" bottom="0.75" header="0.3" footer="0.3"/>
  <pageSetup paperSize="9" orientation="portrait" horizontalDpi="1200" verticalDpi="1200"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4"/>
  <sheetViews>
    <sheetView workbookViewId="0">
      <selection activeCell="B34" sqref="B34"/>
    </sheetView>
  </sheetViews>
  <sheetFormatPr defaultColWidth="8.6328125" defaultRowHeight="14.5" x14ac:dyDescent="0.35"/>
  <cols>
    <col min="1" max="1" width="17.453125" customWidth="1"/>
    <col min="2" max="2" width="62" customWidth="1"/>
  </cols>
  <sheetData>
    <row r="1" spans="1:13" x14ac:dyDescent="0.35">
      <c r="A1" t="s">
        <v>7</v>
      </c>
    </row>
    <row r="2" spans="1:13" x14ac:dyDescent="0.35">
      <c r="A2" t="s">
        <v>8</v>
      </c>
    </row>
    <row r="3" spans="1:13" x14ac:dyDescent="0.35">
      <c r="A3" t="s">
        <v>9</v>
      </c>
    </row>
    <row r="4" spans="1:13" x14ac:dyDescent="0.35">
      <c r="A4" s="2" t="s">
        <v>10</v>
      </c>
      <c r="B4" s="2" t="s">
        <v>11</v>
      </c>
    </row>
    <row r="6" spans="1:13" ht="15" thickBot="1" x14ac:dyDescent="0.4">
      <c r="A6" s="44"/>
      <c r="B6" s="44" t="s">
        <v>12</v>
      </c>
      <c r="C6" s="44"/>
      <c r="E6" s="44"/>
      <c r="F6" s="44"/>
      <c r="G6" s="44" t="s">
        <v>13</v>
      </c>
      <c r="H6" s="44" t="s">
        <v>14</v>
      </c>
      <c r="I6" s="44" t="s">
        <v>15</v>
      </c>
      <c r="J6" s="44" t="s">
        <v>16</v>
      </c>
      <c r="K6" s="44" t="s">
        <v>17</v>
      </c>
      <c r="L6" s="44" t="s">
        <v>18</v>
      </c>
      <c r="M6" s="44" t="s">
        <v>19</v>
      </c>
    </row>
    <row r="7" spans="1:13" x14ac:dyDescent="0.35">
      <c r="A7" s="45" t="s">
        <v>20</v>
      </c>
      <c r="B7" s="5" t="s">
        <v>21</v>
      </c>
      <c r="C7">
        <v>0</v>
      </c>
      <c r="E7" s="47" t="s">
        <v>22</v>
      </c>
      <c r="G7">
        <f>C16</f>
        <v>3</v>
      </c>
      <c r="H7">
        <f>C19</f>
        <v>3</v>
      </c>
      <c r="I7">
        <f>C22</f>
        <v>3</v>
      </c>
      <c r="J7">
        <f>C25</f>
        <v>3</v>
      </c>
      <c r="K7">
        <f>C28</f>
        <v>3</v>
      </c>
      <c r="L7">
        <f>C31</f>
        <v>3</v>
      </c>
      <c r="M7">
        <f>C34</f>
        <v>3</v>
      </c>
    </row>
    <row r="8" spans="1:13" ht="15" thickBot="1" x14ac:dyDescent="0.4">
      <c r="A8" s="45" t="s">
        <v>23</v>
      </c>
      <c r="B8" s="5" t="s">
        <v>24</v>
      </c>
      <c r="C8">
        <v>1</v>
      </c>
      <c r="E8" s="48" t="s">
        <v>25</v>
      </c>
      <c r="G8" s="50">
        <f>IF(G7='SL Vector and Rating'!$C$8,FR1_IAC!$F$7,(IF(G7='SL Vector and Rating'!$C$9,FR1_IAC!$G$7, (IF(G7='SL Vector and Rating'!$C$10,FR1_IAC!$H$7, (IF(G7='SL Vector and Rating'!$C$11,FR1_IAC!$I$7,"N/A")))))))</f>
        <v>2</v>
      </c>
      <c r="H8" s="50">
        <f>IF(H7='SL Vector and Rating'!$C$8,FR2_UC!$F$7,(IF(H7='SL Vector and Rating'!$C$9,FR2_UC!$G$7, (IF(H7='SL Vector and Rating'!$C$10,FR2_UC!$H$7, (IF(H7='SL Vector and Rating'!$C$11,FR2_UC!$I$7, "N/A")))))))</f>
        <v>2.3333333333333335</v>
      </c>
      <c r="I8" s="50">
        <f>IF(I7='SL Vector and Rating'!$C$8,FR3_SI!$F$7,(IF(I7='SL Vector and Rating'!$C$9,FR3_SI!$G$7,(IF(I7='SL Vector and Rating'!$C$10,FR3_SI!$H$7, (IF(I7='SL Vector and Rating'!$C$11,FR3_SI!$I$7,"N/A")))))))</f>
        <v>2.6153846153846154</v>
      </c>
      <c r="J8" s="50">
        <f>IF(J7='SL Vector and Rating'!$C$8,FR4_DC!$F$7,(IF(J7='SL Vector and Rating'!$C$9,FR4_DC!$G$7,(IF(J7='SL Vector and Rating'!$C$10,FR4_DC!$H$7, (IF(J7='SL Vector and Rating'!$C$11,FR4_DC!$I$7, "N/A")))))))</f>
        <v>2.5</v>
      </c>
      <c r="K8" s="50" t="str">
        <f>IF(K7='SL Vector and Rating'!$C$8,FR5_RDF!$F$7,(IF(K7='SL Vector and Rating'!$C$9,FR5_RDF!$G$7,(IF(K7='SL Vector and Rating'!$C$10,FR5_RDF!$H$7, (IF(K7='SL Vector and Rating'!$C$11,FR5_RDF!$I$7, "N/A")))))))</f>
        <v>n/a</v>
      </c>
      <c r="L8" s="50" t="str">
        <f>IF(L7='SL Vector and Rating'!$C$8,FR6_TRE!$F$7,(IF(L7='SL Vector and Rating'!$C$9,FR6_TRE!$G$7,(IF(L7='SL Vector and Rating'!$C$10,FR6_TRE!$H$7, (IF(L7='SL Vector and Rating'!$C$11,FR6_TRE!$I$7,"N/A")))))))</f>
        <v>n/a</v>
      </c>
      <c r="M8" s="50">
        <f>IF(M7='SL Vector and Rating'!$C$8,FR7_RA!$F$7,(IF(M7='SL Vector and Rating'!$C$9,FR7_RA!$G$7, (IF(M7='SL Vector and Rating'!$C$10,FR7_RA!$H$7, (IF(M7='SL Vector and Rating'!$C$11,FR7_RA!$I$7,"N/A")))))))</f>
        <v>3</v>
      </c>
    </row>
    <row r="9" spans="1:13" ht="29" x14ac:dyDescent="0.35">
      <c r="A9" s="45" t="s">
        <v>26</v>
      </c>
      <c r="B9" s="5" t="s">
        <v>27</v>
      </c>
      <c r="C9">
        <v>2</v>
      </c>
    </row>
    <row r="10" spans="1:13" ht="29" x14ac:dyDescent="0.35">
      <c r="A10" s="45" t="s">
        <v>28</v>
      </c>
      <c r="B10" s="5" t="s">
        <v>29</v>
      </c>
      <c r="C10">
        <v>3</v>
      </c>
    </row>
    <row r="11" spans="1:13" ht="29" x14ac:dyDescent="0.35">
      <c r="A11" s="45" t="s">
        <v>30</v>
      </c>
      <c r="B11" s="5" t="s">
        <v>31</v>
      </c>
      <c r="C11">
        <v>4</v>
      </c>
    </row>
    <row r="12" spans="1:13" x14ac:dyDescent="0.35">
      <c r="C12" s="46" t="s">
        <v>32</v>
      </c>
    </row>
    <row r="14" spans="1:13" ht="15" thickBot="1" x14ac:dyDescent="0.4">
      <c r="A14" s="44" t="s">
        <v>33</v>
      </c>
      <c r="B14" s="44"/>
      <c r="C14" s="44"/>
      <c r="F14" s="44" t="s">
        <v>34</v>
      </c>
      <c r="G14" s="44" t="s">
        <v>35</v>
      </c>
      <c r="H14" s="44"/>
      <c r="I14" s="44"/>
      <c r="J14" s="44"/>
    </row>
    <row r="15" spans="1:13" x14ac:dyDescent="0.35">
      <c r="A15" t="s">
        <v>36</v>
      </c>
      <c r="F15" t="s">
        <v>13</v>
      </c>
      <c r="G15" t="s">
        <v>37</v>
      </c>
    </row>
    <row r="16" spans="1:13" x14ac:dyDescent="0.35">
      <c r="A16" t="s">
        <v>38</v>
      </c>
      <c r="B16" s="49" t="s">
        <v>29</v>
      </c>
      <c r="C16">
        <f>IF(B16='SL Vector and Rating'!$B$7,'SL Vector and Rating'!$C$7,(IF(B16='SL Vector and Rating'!$B$8,'SL Vector and Rating'!$C$8,(IF(B16='SL Vector and Rating'!$B$9,'SL Vector and Rating'!$C$9,IF(B16='SL Vector and Rating'!$B$10,'SL Vector and Rating'!$C$10,(IF(B16='SL Vector and Rating'!$B$11,'SL Vector and Rating'!$C$11,'SL Vector and Rating'!$C$12))))))))</f>
        <v>3</v>
      </c>
      <c r="F16" t="s">
        <v>14</v>
      </c>
      <c r="G16" t="s">
        <v>39</v>
      </c>
    </row>
    <row r="17" spans="1:10" x14ac:dyDescent="0.35">
      <c r="F17" t="s">
        <v>15</v>
      </c>
      <c r="G17" t="s">
        <v>40</v>
      </c>
    </row>
    <row r="18" spans="1:10" x14ac:dyDescent="0.35">
      <c r="A18" t="s">
        <v>41</v>
      </c>
      <c r="F18" t="s">
        <v>16</v>
      </c>
      <c r="G18" t="s">
        <v>42</v>
      </c>
    </row>
    <row r="19" spans="1:10" x14ac:dyDescent="0.35">
      <c r="A19" t="s">
        <v>38</v>
      </c>
      <c r="B19" s="49" t="s">
        <v>29</v>
      </c>
      <c r="C19">
        <f>IF(B19='SL Vector and Rating'!$B$7,'SL Vector and Rating'!$C$7,(IF(B19='SL Vector and Rating'!$B$8,'SL Vector and Rating'!$C$8,(IF(B19='SL Vector and Rating'!$B$9,'SL Vector and Rating'!$C$9,IF(B19='SL Vector and Rating'!$B$10,'SL Vector and Rating'!$C$10,(IF(B19='SL Vector and Rating'!$B$11,'SL Vector and Rating'!$C$11,'SL Vector and Rating'!$C$12))))))))</f>
        <v>3</v>
      </c>
      <c r="F19" t="s">
        <v>17</v>
      </c>
      <c r="G19" t="s">
        <v>43</v>
      </c>
    </row>
    <row r="20" spans="1:10" x14ac:dyDescent="0.35">
      <c r="F20" t="s">
        <v>18</v>
      </c>
      <c r="G20" t="s">
        <v>44</v>
      </c>
    </row>
    <row r="21" spans="1:10" x14ac:dyDescent="0.35">
      <c r="A21" t="s">
        <v>45</v>
      </c>
      <c r="F21" t="s">
        <v>19</v>
      </c>
      <c r="G21" t="s">
        <v>46</v>
      </c>
    </row>
    <row r="22" spans="1:10" x14ac:dyDescent="0.35">
      <c r="A22" t="s">
        <v>38</v>
      </c>
      <c r="B22" s="49" t="s">
        <v>29</v>
      </c>
      <c r="C22">
        <f>IF(B22='SL Vector and Rating'!$B$7,'SL Vector and Rating'!$C$7,(IF(B22='SL Vector and Rating'!$B$8,'SL Vector and Rating'!$C$8,(IF(B22='SL Vector and Rating'!$B$9,'SL Vector and Rating'!$C$9,IF(B22='SL Vector and Rating'!$B$10,'SL Vector and Rating'!$C$10,(IF(B22='SL Vector and Rating'!$B$11,'SL Vector and Rating'!$C$11,'SL Vector and Rating'!$C$12))))))))</f>
        <v>3</v>
      </c>
      <c r="J22" t="str">
        <f>IF(I22='SL Vector and Rating'!$B$7,'SL Vector and Rating'!$C$7,(IF(I22='SL Vector and Rating'!$B$8,'SL Vector and Rating'!$C$8,(IF(I22='SL Vector and Rating'!$B$9,'SL Vector and Rating'!$C$9,IF(I22='SL Vector and Rating'!$B$10,'SL Vector and Rating'!$C$10,(IF(I22='SL Vector and Rating'!$B$11,'SL Vector and Rating'!$C$11,'SL Vector and Rating'!$C$12))))))))</f>
        <v/>
      </c>
    </row>
    <row r="24" spans="1:10" x14ac:dyDescent="0.35">
      <c r="A24" t="s">
        <v>47</v>
      </c>
    </row>
    <row r="25" spans="1:10" x14ac:dyDescent="0.35">
      <c r="A25" t="s">
        <v>38</v>
      </c>
      <c r="B25" s="49" t="s">
        <v>29</v>
      </c>
      <c r="C25">
        <f>IF(B25='SL Vector and Rating'!$B$7,'SL Vector and Rating'!$C$7,(IF(B25='SL Vector and Rating'!$B$8,'SL Vector and Rating'!$C$8,(IF(B25='SL Vector and Rating'!$B$9,'SL Vector and Rating'!$C$9,IF(B25='SL Vector and Rating'!$B$10,'SL Vector and Rating'!$C$10,(IF(B25='SL Vector and Rating'!$B$11,'SL Vector and Rating'!$C$11,'SL Vector and Rating'!$C$12))))))))</f>
        <v>3</v>
      </c>
    </row>
    <row r="27" spans="1:10" x14ac:dyDescent="0.35">
      <c r="A27" t="s">
        <v>48</v>
      </c>
    </row>
    <row r="28" spans="1:10" x14ac:dyDescent="0.35">
      <c r="A28" t="s">
        <v>38</v>
      </c>
      <c r="B28" s="49" t="s">
        <v>29</v>
      </c>
      <c r="C28">
        <f>IF(B28='SL Vector and Rating'!$B$7,'SL Vector and Rating'!$C$7,(IF(B28='SL Vector and Rating'!$B$8,'SL Vector and Rating'!$C$8,(IF(B28='SL Vector and Rating'!$B$9,'SL Vector and Rating'!$C$9,IF(B28='SL Vector and Rating'!$B$10,'SL Vector and Rating'!$C$10,(IF(B28='SL Vector and Rating'!$B$11,'SL Vector and Rating'!$C$11,'SL Vector and Rating'!$C$12))))))))</f>
        <v>3</v>
      </c>
    </row>
    <row r="30" spans="1:10" x14ac:dyDescent="0.35">
      <c r="A30" t="s">
        <v>49</v>
      </c>
    </row>
    <row r="31" spans="1:10" x14ac:dyDescent="0.35">
      <c r="A31" t="s">
        <v>38</v>
      </c>
      <c r="B31" s="49" t="s">
        <v>29</v>
      </c>
      <c r="C31">
        <f>IF(B31='SL Vector and Rating'!$B$7,'SL Vector and Rating'!$C$7,(IF(B31='SL Vector and Rating'!$B$8,'SL Vector and Rating'!$C$8,(IF(B31='SL Vector and Rating'!$B$9,'SL Vector and Rating'!$C$9,IF(B31='SL Vector and Rating'!$B$10,'SL Vector and Rating'!$C$10,(IF(B31='SL Vector and Rating'!$B$11,'SL Vector and Rating'!$C$11,'SL Vector and Rating'!$C$12))))))))</f>
        <v>3</v>
      </c>
    </row>
    <row r="33" spans="1:3" x14ac:dyDescent="0.35">
      <c r="A33" t="s">
        <v>50</v>
      </c>
    </row>
    <row r="34" spans="1:3" x14ac:dyDescent="0.35">
      <c r="A34" t="s">
        <v>38</v>
      </c>
      <c r="B34" s="49" t="s">
        <v>29</v>
      </c>
      <c r="C34">
        <f>IF(B34='SL Vector and Rating'!$B$7,'SL Vector and Rating'!$C$7,(IF(B34='SL Vector and Rating'!$B$8,'SL Vector and Rating'!$C$8,(IF(B34='SL Vector and Rating'!$B$9,'SL Vector and Rating'!$C$9,IF(B34='SL Vector and Rating'!$B$10,'SL Vector and Rating'!$C$10,(IF(B34='SL Vector and Rating'!$B$11,'SL Vector and Rating'!$C$11,'SL Vector and Rating'!$C$12))))))))</f>
        <v>3</v>
      </c>
    </row>
  </sheetData>
  <conditionalFormatting sqref="G8:M8">
    <cfRule type="cellIs" dxfId="570" priority="1" stopIfTrue="1" operator="equal">
      <formula>3</formula>
    </cfRule>
    <cfRule type="cellIs" dxfId="569" priority="2" stopIfTrue="1" operator="between">
      <formula>2</formula>
      <formula>3</formula>
    </cfRule>
    <cfRule type="cellIs" dxfId="568" priority="3" stopIfTrue="1" operator="between">
      <formula>0</formula>
      <formula>2</formula>
    </cfRule>
  </conditionalFormatting>
  <dataValidations count="1">
    <dataValidation type="list" allowBlank="1" showInputMessage="1" showErrorMessage="1" sqref="B16 B19 B22 B25 B28 B31 B34" xr:uid="{8826E9DE-56EE-407C-AC59-C6835F95F015}">
      <formula1>SecurityLevels</formula1>
    </dataValidation>
  </dataValidations>
  <pageMargins left="0.7" right="0.7" top="0.75" bottom="0.75" header="0.3" footer="0.3"/>
  <pageSetup paperSize="9" orientation="portrait" r:id="rId1"/>
  <customProperties>
    <customPr name="_pios_id" r:id="rId2"/>
  </customProperties>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D70B6-FEF0-4460-8A3C-DD2C139BC50A}">
  <sheetPr>
    <outlinePr summaryBelow="0"/>
  </sheetPr>
  <dimension ref="A1:B71"/>
  <sheetViews>
    <sheetView showGridLines="0" workbookViewId="0">
      <selection sqref="A1:B1"/>
    </sheetView>
  </sheetViews>
  <sheetFormatPr defaultColWidth="8.6328125" defaultRowHeight="14.5" x14ac:dyDescent="0.35"/>
  <cols>
    <col min="1" max="1" width="12.453125" customWidth="1"/>
    <col min="2" max="2" width="205.36328125" style="5" customWidth="1"/>
  </cols>
  <sheetData>
    <row r="1" spans="1:2" ht="63" customHeight="1" x14ac:dyDescent="0.35">
      <c r="A1" s="127" t="s">
        <v>51</v>
      </c>
      <c r="B1" s="127"/>
    </row>
    <row r="2" spans="1:2" ht="12.65" customHeight="1" x14ac:dyDescent="0.35">
      <c r="A2" s="116"/>
      <c r="B2" s="116"/>
    </row>
    <row r="3" spans="1:2" x14ac:dyDescent="0.35">
      <c r="A3" t="s">
        <v>52</v>
      </c>
      <c r="B3" s="115"/>
    </row>
    <row r="5" spans="1:2" x14ac:dyDescent="0.35">
      <c r="A5" s="104" t="s">
        <v>53</v>
      </c>
    </row>
    <row r="6" spans="1:2" x14ac:dyDescent="0.35">
      <c r="B6" s="5" t="s">
        <v>54</v>
      </c>
    </row>
    <row r="8" spans="1:2" x14ac:dyDescent="0.35">
      <c r="A8" s="104" t="s">
        <v>55</v>
      </c>
    </row>
    <row r="9" spans="1:2" x14ac:dyDescent="0.35">
      <c r="B9" s="5" t="s">
        <v>56</v>
      </c>
    </row>
    <row r="10" spans="1:2" x14ac:dyDescent="0.35">
      <c r="A10" s="104" t="s">
        <v>57</v>
      </c>
    </row>
    <row r="11" spans="1:2" ht="29" x14ac:dyDescent="0.35">
      <c r="B11" s="110" t="s">
        <v>58</v>
      </c>
    </row>
    <row r="12" spans="1:2" x14ac:dyDescent="0.35">
      <c r="B12" s="110" t="s">
        <v>914</v>
      </c>
    </row>
    <row r="13" spans="1:2" x14ac:dyDescent="0.35">
      <c r="B13" s="110"/>
    </row>
    <row r="14" spans="1:2" x14ac:dyDescent="0.35">
      <c r="B14" s="118" t="s">
        <v>59</v>
      </c>
    </row>
    <row r="15" spans="1:2" ht="29" x14ac:dyDescent="0.35">
      <c r="B15" s="117" t="s">
        <v>60</v>
      </c>
    </row>
    <row r="16" spans="1:2" x14ac:dyDescent="0.35">
      <c r="B16" s="117"/>
    </row>
    <row r="17" spans="2:2" ht="34.5" customHeight="1" x14ac:dyDescent="0.35">
      <c r="B17" s="117" t="s">
        <v>61</v>
      </c>
    </row>
    <row r="18" spans="2:2" ht="15" customHeight="1" x14ac:dyDescent="0.35">
      <c r="B18" s="117"/>
    </row>
    <row r="19" spans="2:2" ht="29" x14ac:dyDescent="0.35">
      <c r="B19" s="117" t="s">
        <v>62</v>
      </c>
    </row>
    <row r="20" spans="2:2" x14ac:dyDescent="0.35">
      <c r="B20" s="117"/>
    </row>
    <row r="21" spans="2:2" ht="29" x14ac:dyDescent="0.35">
      <c r="B21" s="117" t="s">
        <v>63</v>
      </c>
    </row>
    <row r="22" spans="2:2" x14ac:dyDescent="0.35">
      <c r="B22" s="117"/>
    </row>
    <row r="23" spans="2:2" ht="43.5" x14ac:dyDescent="0.35">
      <c r="B23" s="117" t="s">
        <v>64</v>
      </c>
    </row>
    <row r="24" spans="2:2" x14ac:dyDescent="0.35">
      <c r="B24" s="117"/>
    </row>
    <row r="25" spans="2:2" ht="43.5" x14ac:dyDescent="0.35">
      <c r="B25" s="117" t="s">
        <v>65</v>
      </c>
    </row>
    <row r="26" spans="2:2" x14ac:dyDescent="0.35">
      <c r="B26" s="117"/>
    </row>
    <row r="27" spans="2:2" ht="29" x14ac:dyDescent="0.35">
      <c r="B27" s="117" t="s">
        <v>66</v>
      </c>
    </row>
    <row r="28" spans="2:2" x14ac:dyDescent="0.35">
      <c r="B28" s="117"/>
    </row>
    <row r="29" spans="2:2" s="12" customFormat="1" ht="32.25" customHeight="1" x14ac:dyDescent="0.35">
      <c r="B29" s="117" t="s">
        <v>67</v>
      </c>
    </row>
    <row r="30" spans="2:2" s="12" customFormat="1" ht="15" customHeight="1" x14ac:dyDescent="0.35">
      <c r="B30" s="117"/>
    </row>
    <row r="31" spans="2:2" ht="35.25" customHeight="1" x14ac:dyDescent="0.35">
      <c r="B31" s="117" t="s">
        <v>917</v>
      </c>
    </row>
    <row r="32" spans="2:2" s="12" customFormat="1" x14ac:dyDescent="0.35">
      <c r="B32" s="117" t="s">
        <v>68</v>
      </c>
    </row>
    <row r="33" spans="2:2" s="12" customFormat="1" x14ac:dyDescent="0.35">
      <c r="B33" s="117"/>
    </row>
    <row r="34" spans="2:2" ht="35.25" customHeight="1" x14ac:dyDescent="0.35">
      <c r="B34" s="117" t="s">
        <v>915</v>
      </c>
    </row>
    <row r="35" spans="2:2" x14ac:dyDescent="0.35">
      <c r="B35" s="117"/>
    </row>
    <row r="36" spans="2:2" s="12" customFormat="1" x14ac:dyDescent="0.35">
      <c r="B36" s="117" t="s">
        <v>916</v>
      </c>
    </row>
    <row r="37" spans="2:2" s="12" customFormat="1" x14ac:dyDescent="0.35">
      <c r="B37" s="117"/>
    </row>
    <row r="38" spans="2:2" x14ac:dyDescent="0.35">
      <c r="B38" s="117" t="s">
        <v>69</v>
      </c>
    </row>
    <row r="39" spans="2:2" x14ac:dyDescent="0.35">
      <c r="B39" s="117"/>
    </row>
    <row r="40" spans="2:2" x14ac:dyDescent="0.35">
      <c r="B40" s="117" t="s">
        <v>70</v>
      </c>
    </row>
    <row r="41" spans="2:2" x14ac:dyDescent="0.35">
      <c r="B41" s="117"/>
    </row>
    <row r="42" spans="2:2" ht="43.5" x14ac:dyDescent="0.35">
      <c r="B42" s="117" t="s">
        <v>920</v>
      </c>
    </row>
    <row r="43" spans="2:2" x14ac:dyDescent="0.35">
      <c r="B43" s="117"/>
    </row>
    <row r="44" spans="2:2" x14ac:dyDescent="0.35">
      <c r="B44" s="13" t="s">
        <v>71</v>
      </c>
    </row>
    <row r="45" spans="2:2" x14ac:dyDescent="0.35">
      <c r="B45" s="13"/>
    </row>
    <row r="46" spans="2:2" x14ac:dyDescent="0.35">
      <c r="B46" s="13" t="s">
        <v>72</v>
      </c>
    </row>
    <row r="47" spans="2:2" x14ac:dyDescent="0.35">
      <c r="B47" s="13"/>
    </row>
    <row r="48" spans="2:2" ht="29" x14ac:dyDescent="0.35">
      <c r="B48" s="13" t="s">
        <v>73</v>
      </c>
    </row>
    <row r="49" spans="1:2" x14ac:dyDescent="0.35">
      <c r="B49" s="13" t="s">
        <v>913</v>
      </c>
    </row>
    <row r="50" spans="1:2" x14ac:dyDescent="0.35">
      <c r="B50" s="12" t="s">
        <v>912</v>
      </c>
    </row>
    <row r="51" spans="1:2" x14ac:dyDescent="0.35">
      <c r="B51" s="12" t="s">
        <v>922</v>
      </c>
    </row>
    <row r="52" spans="1:2" x14ac:dyDescent="0.35">
      <c r="B52" s="12" t="s">
        <v>923</v>
      </c>
    </row>
    <row r="53" spans="1:2" x14ac:dyDescent="0.35">
      <c r="B53" s="12" t="s">
        <v>924</v>
      </c>
    </row>
    <row r="54" spans="1:2" x14ac:dyDescent="0.35">
      <c r="B54" s="12"/>
    </row>
    <row r="55" spans="1:2" ht="29" x14ac:dyDescent="0.35">
      <c r="B55" s="119" t="s">
        <v>74</v>
      </c>
    </row>
    <row r="56" spans="1:2" x14ac:dyDescent="0.35">
      <c r="B56" s="119"/>
    </row>
    <row r="57" spans="1:2" ht="87" x14ac:dyDescent="0.35">
      <c r="B57" s="117" t="s">
        <v>75</v>
      </c>
    </row>
    <row r="58" spans="1:2" x14ac:dyDescent="0.35">
      <c r="B58" s="117"/>
    </row>
    <row r="59" spans="1:2" x14ac:dyDescent="0.35">
      <c r="B59" s="120" t="s">
        <v>76</v>
      </c>
    </row>
    <row r="60" spans="1:2" x14ac:dyDescent="0.35">
      <c r="B60" s="120"/>
    </row>
    <row r="61" spans="1:2" x14ac:dyDescent="0.35">
      <c r="B61" s="121" t="s">
        <v>77</v>
      </c>
    </row>
    <row r="62" spans="1:2" ht="33" customHeight="1" x14ac:dyDescent="0.35">
      <c r="B62" s="111"/>
    </row>
    <row r="63" spans="1:2" x14ac:dyDescent="0.35">
      <c r="A63" s="104" t="s">
        <v>78</v>
      </c>
    </row>
    <row r="64" spans="1:2" ht="29" x14ac:dyDescent="0.35">
      <c r="B64" s="5" t="s">
        <v>79</v>
      </c>
    </row>
    <row r="66" spans="2:2" x14ac:dyDescent="0.35">
      <c r="B66" s="5" t="s">
        <v>80</v>
      </c>
    </row>
    <row r="67" spans="2:2" x14ac:dyDescent="0.35">
      <c r="B67" s="5" t="s">
        <v>81</v>
      </c>
    </row>
    <row r="68" spans="2:2" ht="43.5" x14ac:dyDescent="0.35">
      <c r="B68" s="5" t="s">
        <v>82</v>
      </c>
    </row>
    <row r="69" spans="2:2" x14ac:dyDescent="0.35">
      <c r="B69" s="5" t="s">
        <v>83</v>
      </c>
    </row>
    <row r="70" spans="2:2" x14ac:dyDescent="0.35">
      <c r="B70" s="5" t="s">
        <v>84</v>
      </c>
    </row>
    <row r="71" spans="2:2" x14ac:dyDescent="0.35">
      <c r="B71" s="5" t="s">
        <v>85</v>
      </c>
    </row>
  </sheetData>
  <sheetProtection sheet="1" objects="1" scenarios="1"/>
  <mergeCells count="1">
    <mergeCell ref="A1:B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6EE88-8A7F-41FD-84EE-227AB623CFF7}">
  <dimension ref="A1:R126"/>
  <sheetViews>
    <sheetView workbookViewId="0">
      <pane xSplit="2" ySplit="1" topLeftCell="C2" activePane="bottomRight" state="frozen"/>
      <selection pane="topRight" activeCell="C1" sqref="C1"/>
      <selection pane="bottomLeft" activeCell="A2" sqref="A2"/>
      <selection pane="bottomRight" activeCell="C17" sqref="C17"/>
    </sheetView>
  </sheetViews>
  <sheetFormatPr defaultColWidth="9.36328125" defaultRowHeight="14.5" x14ac:dyDescent="0.35"/>
  <cols>
    <col min="1" max="1" width="5.36328125" style="12" bestFit="1" customWidth="1"/>
    <col min="2" max="2" width="26.453125" style="12" bestFit="1" customWidth="1"/>
    <col min="3" max="4" width="22.453125" style="12" customWidth="1"/>
    <col min="5" max="5" width="48.453125" style="12" bestFit="1" customWidth="1"/>
    <col min="6" max="6" width="9" style="12" bestFit="1" customWidth="1"/>
    <col min="7" max="7" width="9" style="12" customWidth="1"/>
    <col min="8" max="8" width="35.6328125" style="12" customWidth="1"/>
    <col min="9" max="9" width="71.36328125" style="12" customWidth="1"/>
    <col min="10" max="10" width="9.36328125" style="12"/>
    <col min="11" max="11" width="10.6328125" style="12" customWidth="1"/>
    <col min="12" max="12" width="12.453125" style="12" bestFit="1" customWidth="1"/>
    <col min="13" max="13" width="9.36328125" style="12"/>
    <col min="14" max="14" width="11.453125" style="12" bestFit="1" customWidth="1"/>
    <col min="15" max="15" width="11" style="12" bestFit="1" customWidth="1"/>
    <col min="16" max="16" width="13.453125" style="12" customWidth="1"/>
    <col min="17" max="17" width="15.6328125" style="12" customWidth="1"/>
    <col min="18" max="18" width="14.36328125" style="12" customWidth="1"/>
    <col min="19" max="16384" width="9.36328125" style="12"/>
  </cols>
  <sheetData>
    <row r="1" spans="1:18" x14ac:dyDescent="0.35">
      <c r="A1" s="10" t="s">
        <v>86</v>
      </c>
      <c r="B1" s="10" t="s">
        <v>87</v>
      </c>
      <c r="C1" s="10" t="s">
        <v>88</v>
      </c>
      <c r="D1" s="10" t="s">
        <v>89</v>
      </c>
      <c r="E1" s="10" t="s">
        <v>35</v>
      </c>
      <c r="F1" s="10" t="s">
        <v>90</v>
      </c>
      <c r="G1" s="10" t="s">
        <v>91</v>
      </c>
      <c r="H1" s="10" t="s">
        <v>92</v>
      </c>
      <c r="I1" s="10" t="s">
        <v>93</v>
      </c>
      <c r="J1" s="10" t="s">
        <v>94</v>
      </c>
      <c r="K1" s="10" t="s">
        <v>95</v>
      </c>
      <c r="L1" s="10" t="s">
        <v>96</v>
      </c>
      <c r="M1" s="10" t="s">
        <v>97</v>
      </c>
      <c r="N1" s="10" t="s">
        <v>98</v>
      </c>
      <c r="O1" s="10" t="s">
        <v>55</v>
      </c>
      <c r="P1" s="10" t="s">
        <v>99</v>
      </c>
      <c r="Q1" s="10" t="s">
        <v>100</v>
      </c>
      <c r="R1" s="10" t="s">
        <v>101</v>
      </c>
    </row>
    <row r="2" spans="1:18" ht="116" x14ac:dyDescent="0.35">
      <c r="A2" s="12">
        <v>1</v>
      </c>
      <c r="B2" s="12" t="str">
        <f t="shared" ref="B2:B33" si="0">CONCATENATE(L2," - ",N2," ",M2)</f>
        <v>IEC 62443-4-2 - 1.1 CR</v>
      </c>
      <c r="C2" s="14">
        <f>FR1_IAC!D11</f>
        <v>0</v>
      </c>
      <c r="D2" s="12" t="s">
        <v>102</v>
      </c>
      <c r="E2" s="14" t="str">
        <f>FR1_IAC!A$7</f>
        <v>FR 1 - Identification and authentication control (IAC)</v>
      </c>
      <c r="F2" s="14" t="s">
        <v>103</v>
      </c>
      <c r="G2" s="12" t="str">
        <f>IF(ISNUMBER(SEARCH(" ",M2)),CONCATENATE("RE(",RIGHT(N2),")"),"n/a")</f>
        <v>n/a</v>
      </c>
      <c r="H2" s="14" t="str">
        <f>FR1_IAC!C9</f>
        <v>Human user identification and authentication</v>
      </c>
      <c r="I2" s="15" t="str">
        <f>FR1_IAC!C10</f>
        <v>Components shall provide the capability to identify and authenticate all human users according to ISA‑62443‑3‑3 SR 1.1 on all interfaces capable of human user access. This capability shall enforce such identification and authentication on all interfaces that provide human user access to the component to support segregation of duties and least privilege in accordance with applicable security policies and procedures. This capability may be provided locally by the component or by integration into a system level identification and authentication system.
Note: Applicable security policies are a local matter.</v>
      </c>
      <c r="J2" s="14">
        <f>FR1_IAC!J11</f>
        <v>1</v>
      </c>
      <c r="K2" s="15">
        <f>FR1_IAC!D10</f>
        <v>0</v>
      </c>
      <c r="L2" s="12" t="s">
        <v>104</v>
      </c>
      <c r="M2" s="14" t="str">
        <f>FR1_IAC!A9</f>
        <v>CR</v>
      </c>
      <c r="N2" s="14" t="str">
        <f>FR1_IAC!B9</f>
        <v>1.1</v>
      </c>
      <c r="O2" s="12" t="s">
        <v>105</v>
      </c>
      <c r="P2" s="12" t="str">
        <f t="shared" ref="P2:P33" si="1">IF(ISNUMBER(SEARCH(" ",M2)),CONCATENATE(MID(N2,1,LEN(N2)-2)," ",LEFT(M2,FIND(" ",M2)-1)),CONCATENATE(N2," ",M2))</f>
        <v>1.1 CR</v>
      </c>
    </row>
    <row r="3" spans="1:18" ht="29" x14ac:dyDescent="0.35">
      <c r="A3" s="12">
        <v>2</v>
      </c>
      <c r="B3" s="12" t="str">
        <f t="shared" si="0"/>
        <v>IEC 62443-4-2 - 1.1.1 CR RE</v>
      </c>
      <c r="C3" s="14">
        <f>FR1_IAC!D14</f>
        <v>0</v>
      </c>
      <c r="D3" s="12" t="s">
        <v>102</v>
      </c>
      <c r="E3" s="14" t="str">
        <f>E2</f>
        <v>FR 1 - Identification and authentication control (IAC)</v>
      </c>
      <c r="F3" s="14" t="s">
        <v>103</v>
      </c>
      <c r="G3" s="12" t="str">
        <f>IF(ISNUMBER(SEARCH(" ",M3)),CONCATENATE("RE(",RIGHT(N3),")"),"n/a")</f>
        <v>RE(1)</v>
      </c>
      <c r="H3" s="14" t="str">
        <f>FR1_IAC!C12</f>
        <v>Unique identification and authentication</v>
      </c>
      <c r="I3" s="15" t="str">
        <f>FR1_IAC!C13</f>
        <v>Components shall provide the capability to uniquely identify and authenticate all human users</v>
      </c>
      <c r="J3" s="14">
        <f>FR1_IAC!J14</f>
        <v>2</v>
      </c>
      <c r="K3" s="15">
        <f>FR1_IAC!D13</f>
        <v>0</v>
      </c>
      <c r="L3" s="12" t="s">
        <v>104</v>
      </c>
      <c r="M3" s="14" t="str">
        <f>FR1_IAC!A12</f>
        <v>CR RE</v>
      </c>
      <c r="N3" s="14" t="str">
        <f>FR1_IAC!B12</f>
        <v>1.1.1</v>
      </c>
      <c r="O3" s="12" t="s">
        <v>105</v>
      </c>
      <c r="P3" s="12" t="str">
        <f t="shared" si="1"/>
        <v>1.1 CR</v>
      </c>
    </row>
    <row r="4" spans="1:18" ht="29" x14ac:dyDescent="0.35">
      <c r="A4" s="12">
        <v>3</v>
      </c>
      <c r="B4" s="12" t="str">
        <f t="shared" si="0"/>
        <v>IEC 62443-4-2 - 1.1.2 CR RE</v>
      </c>
      <c r="C4" s="14">
        <f>FR1_IAC!D17</f>
        <v>0</v>
      </c>
      <c r="D4" s="12" t="s">
        <v>102</v>
      </c>
      <c r="E4" s="14" t="str">
        <f t="shared" ref="E4:E67" si="2">E3</f>
        <v>FR 1 - Identification and authentication control (IAC)</v>
      </c>
      <c r="F4" s="14" t="s">
        <v>103</v>
      </c>
      <c r="G4" s="12" t="str">
        <f>IF(ISNUMBER(SEARCH(" ",M4)),CONCATENATE("RE(",RIGHT(N4),")"),"n/a")</f>
        <v>RE(2)</v>
      </c>
      <c r="H4" s="14" t="str">
        <f>FR1_IAC!C15</f>
        <v>Multifactor authentication for all interfaces</v>
      </c>
      <c r="I4" s="15" t="str">
        <f>FR1_IAC!C16</f>
        <v>Components shall provide the capability to employ multifactor authentication for all human user access to the component.</v>
      </c>
      <c r="J4" s="14">
        <f>FR1_IAC!J17</f>
        <v>3</v>
      </c>
      <c r="K4" s="15">
        <f>FR1_IAC!D16</f>
        <v>0</v>
      </c>
      <c r="L4" s="12" t="s">
        <v>104</v>
      </c>
      <c r="M4" s="14" t="str">
        <f>FR1_IAC!A15</f>
        <v>CR RE</v>
      </c>
      <c r="N4" s="14" t="str">
        <f>FR1_IAC!B15</f>
        <v>1.1.2</v>
      </c>
      <c r="O4" s="12" t="s">
        <v>105</v>
      </c>
      <c r="P4" s="12" t="str">
        <f t="shared" si="1"/>
        <v>1.1 CR</v>
      </c>
    </row>
    <row r="5" spans="1:18" ht="101.5" x14ac:dyDescent="0.35">
      <c r="A5" s="12">
        <v>4</v>
      </c>
      <c r="B5" s="12" t="str">
        <f t="shared" si="0"/>
        <v>IEC 62443-4-2 - 1.2 CR</v>
      </c>
      <c r="C5" s="14">
        <f>FR1_IAC!D20</f>
        <v>0</v>
      </c>
      <c r="D5" s="12" t="s">
        <v>102</v>
      </c>
      <c r="E5" s="14" t="str">
        <f t="shared" si="2"/>
        <v>FR 1 - Identification and authentication control (IAC)</v>
      </c>
      <c r="F5" s="14" t="s">
        <v>106</v>
      </c>
      <c r="G5" s="12" t="str">
        <f t="shared" ref="G5:G68" si="3">IF(ISNUMBER(SEARCH(" ",M5)),CONCATENATE("RE(",RIGHT(N5),")"),"n/a")</f>
        <v>n/a</v>
      </c>
      <c r="H5" s="14" t="str">
        <f>FR1_IAC!C18</f>
        <v>Software process and device identification and authentication</v>
      </c>
      <c r="I5" s="15" t="str">
        <f>FR1_IAC!C19</f>
        <v>The component shall provide the capability to identify itself and authenticate to any other component (software application, embedded devices, host devices and network devices), according to ISA‑62443‑3‑3 SR1.2
If the component is running in the context of a human user, in addition, the identification and authentication of the human user according to ISA‑62443‑3‑3 SR1.1 may be part of the component identification and authentication process towards the other components.</v>
      </c>
      <c r="J5" s="14">
        <f>FR1_IAC!J20</f>
        <v>2</v>
      </c>
      <c r="K5" s="15">
        <f>FR1_IAC!D19</f>
        <v>0</v>
      </c>
      <c r="L5" s="12" t="s">
        <v>104</v>
      </c>
      <c r="M5" s="14" t="str">
        <f>FR1_IAC!A18</f>
        <v>CR</v>
      </c>
      <c r="N5" s="14" t="str">
        <f>FR1_IAC!B18</f>
        <v>1.2</v>
      </c>
      <c r="O5" s="12" t="s">
        <v>105</v>
      </c>
      <c r="P5" s="12" t="str">
        <f t="shared" si="1"/>
        <v>1.2 CR</v>
      </c>
    </row>
    <row r="6" spans="1:18" ht="29" x14ac:dyDescent="0.35">
      <c r="A6" s="12">
        <v>5</v>
      </c>
      <c r="B6" s="12" t="str">
        <f t="shared" si="0"/>
        <v>IEC 62443-4-2 - 1.2.1 CR RE</v>
      </c>
      <c r="C6" s="14">
        <f>FR1_IAC!D23</f>
        <v>0</v>
      </c>
      <c r="D6" s="12" t="s">
        <v>102</v>
      </c>
      <c r="E6" s="14" t="str">
        <f t="shared" si="2"/>
        <v>FR 1 - Identification and authentication control (IAC)</v>
      </c>
      <c r="F6" s="14" t="s">
        <v>106</v>
      </c>
      <c r="G6" s="12" t="str">
        <f t="shared" si="3"/>
        <v>RE(1)</v>
      </c>
      <c r="H6" s="14" t="str">
        <f>FR1_IAC!C21</f>
        <v>Unique identification and authentication</v>
      </c>
      <c r="I6" s="15" t="str">
        <f>FR1_IAC!C22</f>
        <v>The component shall provide the capability to uniquely identify and authenticate itself to any other component.</v>
      </c>
      <c r="J6" s="14">
        <f>FR1_IAC!J23</f>
        <v>3</v>
      </c>
      <c r="K6" s="15">
        <f>FR1_IAC!D22</f>
        <v>0</v>
      </c>
      <c r="L6" s="12" t="s">
        <v>104</v>
      </c>
      <c r="M6" s="14" t="str">
        <f>FR1_IAC!A21</f>
        <v>CR RE</v>
      </c>
      <c r="N6" s="14" t="str">
        <f>FR1_IAC!B21</f>
        <v>1.2.1</v>
      </c>
      <c r="O6" s="12" t="s">
        <v>105</v>
      </c>
      <c r="P6" s="12" t="str">
        <f t="shared" si="1"/>
        <v>1.2 CR</v>
      </c>
    </row>
    <row r="7" spans="1:18" ht="409.5" x14ac:dyDescent="0.35">
      <c r="A7" s="12">
        <v>6</v>
      </c>
      <c r="B7" s="12" t="str">
        <f t="shared" si="0"/>
        <v>IEC 62443-4-2 - 1.3 CR</v>
      </c>
      <c r="C7" s="14" t="str">
        <f>FR1_IAC!D26</f>
        <v>Supported with some restrictions/partly needs clarifications</v>
      </c>
      <c r="D7" s="12" t="s">
        <v>102</v>
      </c>
      <c r="E7" s="14" t="str">
        <f t="shared" si="2"/>
        <v>FR 1 - Identification and authentication control (IAC)</v>
      </c>
      <c r="F7" s="14" t="s">
        <v>107</v>
      </c>
      <c r="G7" s="12" t="str">
        <f t="shared" si="3"/>
        <v>n/a</v>
      </c>
      <c r="H7" s="14" t="str">
        <f>FR1_IAC!C24</f>
        <v>Account management</v>
      </c>
      <c r="I7" s="15" t="str">
        <f>FR1_IAC!C25</f>
        <v xml:space="preserve">Components shall provide the capability to support the management of all accounts directly or integrated into a system according to ISA‑62443‑3‑3 SR 1.3
</v>
      </c>
      <c r="J7" s="14">
        <f>FR1_IAC!J26</f>
        <v>1</v>
      </c>
      <c r="K7" s="15" t="str">
        <f>FR1_IAC!D25</f>
        <v>MCSR has a "not" requirement. Improvement would be to write it positive like in 62443: Products should have Account- and Authenticator Management, adding accounts is not an MCSR.
Note: -3-3 requirement is "The control system shall provide the capability to support the management of all accounts by authorized users, including adding, activating, modifying, disabling and removing accounts."
ABB Acceptance: 
FAQ: all accounts: also includes debug/maintenance accounts.
FAQ: all accounts: also includes single admin account with changeable password.
FAQ: if there is no account, then there is nothing to manage</v>
      </c>
      <c r="L7" s="12" t="s">
        <v>104</v>
      </c>
      <c r="M7" s="14" t="str">
        <f>FR1_IAC!A24</f>
        <v>CR</v>
      </c>
      <c r="N7" s="14" t="str">
        <f>FR1_IAC!B24</f>
        <v>1.3</v>
      </c>
      <c r="O7" s="12" t="s">
        <v>105</v>
      </c>
      <c r="P7" s="12" t="str">
        <f t="shared" si="1"/>
        <v>1.3 CR</v>
      </c>
    </row>
    <row r="8" spans="1:18" ht="43.5" x14ac:dyDescent="0.35">
      <c r="A8" s="12">
        <v>7</v>
      </c>
      <c r="B8" s="12" t="str">
        <f t="shared" si="0"/>
        <v>IEC 62443-4-2 - 1.4 CR</v>
      </c>
      <c r="C8" s="14">
        <f>FR1_IAC!D29</f>
        <v>0</v>
      </c>
      <c r="D8" s="12" t="s">
        <v>102</v>
      </c>
      <c r="E8" s="14" t="str">
        <f t="shared" si="2"/>
        <v>FR 1 - Identification and authentication control (IAC)</v>
      </c>
      <c r="F8" s="14" t="s">
        <v>108</v>
      </c>
      <c r="G8" s="12" t="str">
        <f t="shared" si="3"/>
        <v>n/a</v>
      </c>
      <c r="H8" s="14" t="str">
        <f>FR1_IAC!C27</f>
        <v>Identifier management</v>
      </c>
      <c r="I8" s="15" t="str">
        <f>FR1_IAC!C28</f>
        <v>The component shall provide the capability to integrate into a system that supports the management of identifiers and/or provide the capability to support the management of identifiers directly according to ISA‑62443‑3‑3  SR 1.4</v>
      </c>
      <c r="J8" s="14">
        <f>FR1_IAC!J29</f>
        <v>1</v>
      </c>
      <c r="K8" s="15">
        <f>FR1_IAC!D28</f>
        <v>0</v>
      </c>
      <c r="L8" s="12" t="s">
        <v>104</v>
      </c>
      <c r="M8" s="14" t="str">
        <f>FR1_IAC!A27</f>
        <v>CR</v>
      </c>
      <c r="N8" s="14" t="str">
        <f>FR1_IAC!B27</f>
        <v>1.4</v>
      </c>
      <c r="O8" s="12" t="s">
        <v>105</v>
      </c>
      <c r="P8" s="12" t="str">
        <f t="shared" si="1"/>
        <v>1.4 CR</v>
      </c>
    </row>
    <row r="9" spans="1:18" ht="188.5" x14ac:dyDescent="0.35">
      <c r="A9" s="12">
        <v>8</v>
      </c>
      <c r="B9" s="12" t="str">
        <f t="shared" si="0"/>
        <v>IEC 62443-4-2 - 1.5 CR</v>
      </c>
      <c r="C9" s="14" t="str">
        <f>FR1_IAC!D35</f>
        <v>Supported with some restrictions/partly needs clarifications</v>
      </c>
      <c r="D9" s="12" t="s">
        <v>102</v>
      </c>
      <c r="E9" s="14" t="str">
        <f t="shared" si="2"/>
        <v>FR 1 - Identification and authentication control (IAC)</v>
      </c>
      <c r="F9" s="14" t="s">
        <v>109</v>
      </c>
      <c r="G9" s="12" t="str">
        <f t="shared" si="3"/>
        <v>n/a</v>
      </c>
      <c r="H9" s="14" t="str">
        <f>FR1_IAC!C30</f>
        <v>Authenticator management</v>
      </c>
      <c r="I9" s="15" t="str">
        <f>FR1_IAC!C31</f>
        <v xml:space="preserve">Components shall provide the capability to:
a) support the use of initial authenticator content;
</v>
      </c>
      <c r="J9" s="14">
        <f>FR1_IAC!J35</f>
        <v>1</v>
      </c>
      <c r="K9" s="15" t="str">
        <f>FR1_IAC!D31</f>
        <v>This seems to be equivalent to our requirement that all passwords, keys, etc. (authenticators) shall be changeable.</v>
      </c>
      <c r="L9" s="12" t="s">
        <v>104</v>
      </c>
      <c r="M9" s="14" t="str">
        <f>FR1_IAC!A30</f>
        <v>CR</v>
      </c>
      <c r="N9" s="14" t="str">
        <f>FR1_IAC!B30</f>
        <v>1.5</v>
      </c>
      <c r="O9" s="12" t="s">
        <v>105</v>
      </c>
      <c r="P9" s="12" t="str">
        <f t="shared" si="1"/>
        <v>1.5 CR</v>
      </c>
    </row>
    <row r="10" spans="1:18" ht="58" x14ac:dyDescent="0.35">
      <c r="A10" s="12">
        <v>9</v>
      </c>
      <c r="B10" s="12" t="str">
        <f t="shared" si="0"/>
        <v>IEC 62443-4-2 - 1.5.1 CR RE</v>
      </c>
      <c r="C10" s="14">
        <f>FR1_IAC!D38</f>
        <v>0</v>
      </c>
      <c r="D10" s="12" t="s">
        <v>102</v>
      </c>
      <c r="E10" s="14" t="str">
        <f t="shared" si="2"/>
        <v>FR 1 - Identification and authentication control (IAC)</v>
      </c>
      <c r="F10" s="14" t="s">
        <v>109</v>
      </c>
      <c r="G10" s="12" t="str">
        <f t="shared" si="3"/>
        <v>RE(1)</v>
      </c>
      <c r="H10" s="14" t="str">
        <f>FR1_IAC!C36</f>
        <v>Hardware security for authenticators</v>
      </c>
      <c r="I10" s="15" t="str">
        <f>FR1_IAC!C37</f>
        <v>The authenticators on which the component rely shall be protected via hardware mechanisms.
Note: Examples of hardware authentication include: Password protected memory, OTP memory, hardware data integrity checks, and device security boot mechanism.</v>
      </c>
      <c r="J10" s="14">
        <f>FR1_IAC!J38</f>
        <v>3</v>
      </c>
      <c r="K10" s="15">
        <f>FR1_IAC!D37</f>
        <v>0</v>
      </c>
      <c r="L10" s="12" t="s">
        <v>104</v>
      </c>
      <c r="M10" s="14" t="str">
        <f>FR1_IAC!A36</f>
        <v>CR RE</v>
      </c>
      <c r="N10" s="14" t="str">
        <f>FR1_IAC!B36</f>
        <v>1.5.1</v>
      </c>
      <c r="O10" s="12" t="s">
        <v>105</v>
      </c>
      <c r="P10" s="12" t="str">
        <f t="shared" si="1"/>
        <v>1.5 CR</v>
      </c>
    </row>
    <row r="11" spans="1:18" ht="217.5" x14ac:dyDescent="0.35">
      <c r="A11" s="12">
        <v>10</v>
      </c>
      <c r="B11" s="12" t="str">
        <f t="shared" si="0"/>
        <v>IEC 62443-4-2 - 1.6 NDR</v>
      </c>
      <c r="C11" s="14">
        <f>FR1_IAC!D41</f>
        <v>0</v>
      </c>
      <c r="D11" s="12" t="s">
        <v>102</v>
      </c>
      <c r="E11" s="14" t="str">
        <f t="shared" si="2"/>
        <v>FR 1 - Identification and authentication control (IAC)</v>
      </c>
      <c r="F11" s="14" t="s">
        <v>110</v>
      </c>
      <c r="G11" s="12" t="str">
        <f t="shared" si="3"/>
        <v>n/a</v>
      </c>
      <c r="H11" s="14" t="str">
        <f>FR1_IAC!C39</f>
        <v>Wireless access management</v>
      </c>
      <c r="I11" s="15" t="str">
        <f>FR1_IAC!C40</f>
        <v>A network device supporting wireless access management shall provide the capability to identify and authenticate all users (humans, software processes or devices) engaged in wireless communication.</v>
      </c>
      <c r="J11" s="14">
        <f>FR1_IAC!J41</f>
        <v>1</v>
      </c>
      <c r="K11" s="15" t="str">
        <f>FR1_IAC!D40</f>
        <v>MCSR MP-15 is focusing on application layer protocols, while wireless protocols typically act on lower layers (e.g. 802.11 on layer 2 and 1).</v>
      </c>
      <c r="L11" s="12" t="s">
        <v>104</v>
      </c>
      <c r="M11" s="14" t="str">
        <f>FR1_IAC!A39</f>
        <v>NDR</v>
      </c>
      <c r="N11" s="14" t="str">
        <f>FR1_IAC!B39</f>
        <v>1.6</v>
      </c>
      <c r="O11" s="12" t="s">
        <v>105</v>
      </c>
      <c r="P11" s="12" t="str">
        <f t="shared" si="1"/>
        <v>1.6 NDR</v>
      </c>
    </row>
    <row r="12" spans="1:18" ht="217.5" x14ac:dyDescent="0.35">
      <c r="A12" s="12">
        <v>11</v>
      </c>
      <c r="B12" s="12" t="str">
        <f t="shared" si="0"/>
        <v>IEC 62443-4-2 - 1.6.1 NDR RE</v>
      </c>
      <c r="C12" s="14">
        <f>FR1_IAC!D44</f>
        <v>0</v>
      </c>
      <c r="D12" s="12" t="s">
        <v>102</v>
      </c>
      <c r="E12" s="14" t="str">
        <f t="shared" si="2"/>
        <v>FR 1 - Identification and authentication control (IAC)</v>
      </c>
      <c r="F12" s="14" t="s">
        <v>110</v>
      </c>
      <c r="G12" s="12" t="str">
        <f t="shared" si="3"/>
        <v>RE(1)</v>
      </c>
      <c r="H12" s="14" t="str">
        <f>FR1_IAC!C42</f>
        <v>Unique identification and authentication</v>
      </c>
      <c r="I12" s="15" t="str">
        <f>FR1_IAC!C43</f>
        <v>The network device shall provide the capability to uniquely identify and authenticate all users (humans, software processes or devices) engaged in wireless communication.</v>
      </c>
      <c r="J12" s="14">
        <f>FR1_IAC!J44</f>
        <v>2</v>
      </c>
      <c r="K12" s="15" t="str">
        <f>FR1_IAC!D43</f>
        <v>MCSR MP-15 is focusing on application layer protocols, while wireless protocols typically act on lower layers (e.g. 802.11 on layer 2 and 1).</v>
      </c>
      <c r="L12" s="12" t="s">
        <v>104</v>
      </c>
      <c r="M12" s="14" t="str">
        <f>FR1_IAC!A42</f>
        <v>NDR RE</v>
      </c>
      <c r="N12" s="14" t="str">
        <f>FR1_IAC!B42</f>
        <v>1.6.1</v>
      </c>
      <c r="O12" s="12" t="s">
        <v>105</v>
      </c>
      <c r="P12" s="12" t="str">
        <f t="shared" si="1"/>
        <v>1.6 NDR</v>
      </c>
    </row>
    <row r="13" spans="1:18" ht="58" x14ac:dyDescent="0.35">
      <c r="A13" s="12">
        <v>12</v>
      </c>
      <c r="B13" s="12" t="str">
        <f t="shared" si="0"/>
        <v>IEC 62443-4-2 - 1.7 CR</v>
      </c>
      <c r="C13" s="14">
        <f>FR1_IAC!D47</f>
        <v>0</v>
      </c>
      <c r="D13" s="12" t="s">
        <v>102</v>
      </c>
      <c r="E13" s="14" t="str">
        <f t="shared" si="2"/>
        <v>FR 1 - Identification and authentication control (IAC)</v>
      </c>
      <c r="F13" s="14" t="s">
        <v>111</v>
      </c>
      <c r="G13" s="12" t="str">
        <f t="shared" si="3"/>
        <v>n/a</v>
      </c>
      <c r="H13" s="14" t="str">
        <f>FR1_IAC!C45</f>
        <v>Strength of password-based authentication</v>
      </c>
      <c r="I13" s="15" t="str">
        <f>FR1_IAC!C46</f>
        <v>For components that utilize password-based authentication, those component shall provide or integrate into a system that provides the capability to enforce configurable password strength based on internationally recognized and proven password guidelines.</v>
      </c>
      <c r="J13" s="14">
        <f>FR1_IAC!J47</f>
        <v>1</v>
      </c>
      <c r="K13" s="15">
        <f>FR1_IAC!D46</f>
        <v>0</v>
      </c>
      <c r="L13" s="12" t="s">
        <v>104</v>
      </c>
      <c r="M13" s="14" t="str">
        <f>FR1_IAC!A45</f>
        <v>CR</v>
      </c>
      <c r="N13" s="14" t="str">
        <f>FR1_IAC!B45</f>
        <v>1.7</v>
      </c>
      <c r="O13" s="12" t="s">
        <v>105</v>
      </c>
      <c r="P13" s="12" t="str">
        <f t="shared" si="1"/>
        <v>1.7 CR</v>
      </c>
    </row>
    <row r="14" spans="1:18" ht="101.5" x14ac:dyDescent="0.35">
      <c r="A14" s="12">
        <v>13</v>
      </c>
      <c r="B14" s="12" t="str">
        <f t="shared" si="0"/>
        <v>IEC 62443-4-2 - 1.7.1 CR RE</v>
      </c>
      <c r="C14" s="14">
        <f>FR1_IAC!D50</f>
        <v>0</v>
      </c>
      <c r="D14" s="12" t="s">
        <v>102</v>
      </c>
      <c r="E14" s="14" t="str">
        <f t="shared" si="2"/>
        <v>FR 1 - Identification and authentication control (IAC)</v>
      </c>
      <c r="F14" s="14" t="s">
        <v>111</v>
      </c>
      <c r="G14" s="12" t="str">
        <f t="shared" si="3"/>
        <v>RE(1)</v>
      </c>
      <c r="H14" s="14" t="str">
        <f>FR1_IAC!C48</f>
        <v>Password generation and lifetime restrictions for human users</v>
      </c>
      <c r="I14" s="15" t="str">
        <f>FR1_IAC!C49</f>
        <v>Components shall provide, or integrate into a system that provides, the capability to protect against any given human user account from reusing a password for a configurable number of generations. In addition, the component shall provide the capability to enforce password minimum and maximum lifetime restrictions for human users. These capabilities shall conform to commonly accepted security industry practices. The component should provide the capability to prompt the user to change their password upon a configurable time prior to expiration.</v>
      </c>
      <c r="J14" s="14">
        <f>FR1_IAC!J50</f>
        <v>3</v>
      </c>
      <c r="K14" s="15">
        <f>FR1_IAC!D49</f>
        <v>0</v>
      </c>
      <c r="L14" s="12" t="s">
        <v>104</v>
      </c>
      <c r="M14" s="14" t="str">
        <f>FR1_IAC!A48</f>
        <v>CR RE</v>
      </c>
      <c r="N14" s="14" t="str">
        <f>FR1_IAC!B48</f>
        <v>1.7.1</v>
      </c>
      <c r="O14" s="12" t="s">
        <v>105</v>
      </c>
      <c r="P14" s="12" t="str">
        <f t="shared" si="1"/>
        <v>1.7 CR</v>
      </c>
    </row>
    <row r="15" spans="1:18" ht="29" x14ac:dyDescent="0.35">
      <c r="A15" s="12">
        <v>14</v>
      </c>
      <c r="B15" s="12" t="str">
        <f t="shared" si="0"/>
        <v>IEC 62443-4-2 - 1.7.2 CR RE</v>
      </c>
      <c r="C15" s="14">
        <f>FR1_IAC!D53</f>
        <v>0</v>
      </c>
      <c r="D15" s="12" t="s">
        <v>102</v>
      </c>
      <c r="E15" s="14" t="str">
        <f t="shared" si="2"/>
        <v>FR 1 - Identification and authentication control (IAC)</v>
      </c>
      <c r="F15" s="14" t="s">
        <v>111</v>
      </c>
      <c r="G15" s="12" t="str">
        <f t="shared" si="3"/>
        <v>RE(2)</v>
      </c>
      <c r="H15" s="14" t="str">
        <f>FR1_IAC!C51</f>
        <v>Password lifetime restrictions for all users (human, software process, or device)</v>
      </c>
      <c r="I15" s="15" t="str">
        <f>FR1_IAC!C52</f>
        <v>Components shall provide, or integrate into a system that provides, the capability to enforce password minimum and maximum lifetime restrictions for all users.</v>
      </c>
      <c r="J15" s="14">
        <f>FR1_IAC!J53</f>
        <v>4</v>
      </c>
      <c r="K15" s="15">
        <f>FR1_IAC!D52</f>
        <v>0</v>
      </c>
      <c r="L15" s="12" t="s">
        <v>104</v>
      </c>
      <c r="M15" s="14" t="str">
        <f>FR1_IAC!A51</f>
        <v>CR RE</v>
      </c>
      <c r="N15" s="14" t="str">
        <f>FR1_IAC!B51</f>
        <v>1.7.2</v>
      </c>
      <c r="O15" s="12" t="s">
        <v>105</v>
      </c>
      <c r="P15" s="12" t="str">
        <f t="shared" si="1"/>
        <v>1.7 CR</v>
      </c>
    </row>
    <row r="16" spans="1:18" ht="43.5" x14ac:dyDescent="0.35">
      <c r="A16" s="12">
        <v>15</v>
      </c>
      <c r="B16" s="12" t="str">
        <f t="shared" si="0"/>
        <v>IEC 62443-4-2 - 1.8 CR</v>
      </c>
      <c r="C16" s="14">
        <f>FR1_IAC!D56</f>
        <v>0</v>
      </c>
      <c r="D16" s="12" t="s">
        <v>102</v>
      </c>
      <c r="E16" s="14" t="str">
        <f t="shared" si="2"/>
        <v>FR 1 - Identification and authentication control (IAC)</v>
      </c>
      <c r="F16" s="14" t="s">
        <v>112</v>
      </c>
      <c r="G16" s="12" t="str">
        <f t="shared" si="3"/>
        <v>n/a</v>
      </c>
      <c r="H16" s="14" t="str">
        <f>FR1_IAC!C54</f>
        <v>Public key infrastructure certificates</v>
      </c>
      <c r="I16" s="15" t="str">
        <f>FR1_IAC!C55</f>
        <v>When public key infrastructure (PKI) is utilized, the component shall provide or integrate into a system that provides the capability to interact and operate in accordance with ISA‑62443‑3‑3  SR1.8</v>
      </c>
      <c r="J16" s="14">
        <f>FR1_IAC!J56</f>
        <v>2</v>
      </c>
      <c r="K16" s="15">
        <f>FR1_IAC!D55</f>
        <v>0</v>
      </c>
      <c r="L16" s="12" t="s">
        <v>104</v>
      </c>
      <c r="M16" s="14" t="str">
        <f>FR1_IAC!A54</f>
        <v>CR</v>
      </c>
      <c r="N16" s="14" t="str">
        <f>FR1_IAC!B54</f>
        <v>1.8</v>
      </c>
      <c r="O16" s="12" t="s">
        <v>105</v>
      </c>
      <c r="P16" s="12" t="str">
        <f t="shared" si="1"/>
        <v>1.8 CR</v>
      </c>
    </row>
    <row r="17" spans="1:16" ht="203" x14ac:dyDescent="0.35">
      <c r="A17" s="12">
        <v>16</v>
      </c>
      <c r="B17" s="12" t="str">
        <f t="shared" si="0"/>
        <v>IEC 62443-4-2 - 1.9 CR</v>
      </c>
      <c r="C17" s="14">
        <f>FR1_IAC!D59</f>
        <v>0</v>
      </c>
      <c r="D17" s="12" t="s">
        <v>102</v>
      </c>
      <c r="E17" s="14" t="str">
        <f t="shared" si="2"/>
        <v>FR 1 - Identification and authentication control (IAC)</v>
      </c>
      <c r="F17" s="14" t="s">
        <v>113</v>
      </c>
      <c r="G17" s="12" t="str">
        <f t="shared" si="3"/>
        <v>n/a</v>
      </c>
      <c r="H17" s="14" t="str">
        <f>FR1_IAC!C57</f>
        <v>Strength of public key authentication</v>
      </c>
      <c r="I17" s="15" t="str">
        <f>FR1_IAC!C58</f>
        <v>For components that utilize public key authentication, those components shall provide directly or integrate into a system that provides the capability within the same IACS environment to:
a) validate certificates by checking the validity of the signature of a given certificate;
b) validate the certificate chain or, in the case of self-signed certificates, by deploying leaf certificates to all hosts that communicate with the subject to which the certificate is issued;
c) validate certificates by checking a given certificate’s revocation status;
d) establish user (human, software process or device) control of the corresponding private key; 
e) map the authenticated identity to a user (human, software process or device); and
f) ensure that the algorithms and keys used for the symmetric key authentication comply with 8.5 CR 4.3 – Use of cryptography.</v>
      </c>
      <c r="J17" s="14">
        <f>FR1_IAC!J59</f>
        <v>2</v>
      </c>
      <c r="K17" s="15">
        <f>FR1_IAC!D58</f>
        <v>0</v>
      </c>
      <c r="L17" s="12" t="s">
        <v>104</v>
      </c>
      <c r="M17" s="14" t="str">
        <f>FR1_IAC!A57</f>
        <v>CR</v>
      </c>
      <c r="N17" s="14" t="str">
        <f>FR1_IAC!B57</f>
        <v>1.9</v>
      </c>
      <c r="O17" s="12" t="s">
        <v>105</v>
      </c>
      <c r="P17" s="12" t="str">
        <f t="shared" si="1"/>
        <v>1.9 CR</v>
      </c>
    </row>
    <row r="18" spans="1:16" ht="43.5" x14ac:dyDescent="0.35">
      <c r="A18" s="12">
        <v>17</v>
      </c>
      <c r="B18" s="12" t="str">
        <f t="shared" si="0"/>
        <v>IEC 62443-4-2 - 1.9.1 CR RE</v>
      </c>
      <c r="C18" s="14">
        <f>FR1_IAC!D62</f>
        <v>0</v>
      </c>
      <c r="D18" s="12" t="s">
        <v>102</v>
      </c>
      <c r="E18" s="14" t="str">
        <f t="shared" si="2"/>
        <v>FR 1 - Identification and authentication control (IAC)</v>
      </c>
      <c r="F18" s="14" t="s">
        <v>113</v>
      </c>
      <c r="G18" s="12" t="str">
        <f t="shared" si="3"/>
        <v>RE(1)</v>
      </c>
      <c r="H18" s="14" t="str">
        <f>FR1_IAC!C60</f>
        <v>Hardware security for public key authentication</v>
      </c>
      <c r="I18" s="15" t="str">
        <f>FR1_IAC!C61</f>
        <v>Hardware security for public key authentication
Components shall provide the capability to protect critical, long-lived private keys via hardware mechanisms.</v>
      </c>
      <c r="J18" s="14">
        <f>FR1_IAC!J62</f>
        <v>3</v>
      </c>
      <c r="K18" s="15">
        <f>FR1_IAC!D61</f>
        <v>0</v>
      </c>
      <c r="L18" s="12" t="s">
        <v>104</v>
      </c>
      <c r="M18" s="14" t="str">
        <f>FR1_IAC!A60</f>
        <v>CR RE</v>
      </c>
      <c r="N18" s="14" t="str">
        <f>FR1_IAC!B60</f>
        <v>1.9.1</v>
      </c>
      <c r="O18" s="12" t="s">
        <v>105</v>
      </c>
      <c r="P18" s="12" t="str">
        <f t="shared" si="1"/>
        <v>1.9 CR</v>
      </c>
    </row>
    <row r="19" spans="1:16" ht="43.5" x14ac:dyDescent="0.35">
      <c r="A19" s="12">
        <v>18</v>
      </c>
      <c r="B19" s="12" t="str">
        <f t="shared" si="0"/>
        <v>IEC 62443-4-2 - 1.10 CR</v>
      </c>
      <c r="C19" s="14">
        <f>FR1_IAC!D65</f>
        <v>0</v>
      </c>
      <c r="D19" s="12" t="s">
        <v>102</v>
      </c>
      <c r="E19" s="14" t="str">
        <f t="shared" si="2"/>
        <v>FR 1 - Identification and authentication control (IAC)</v>
      </c>
      <c r="F19" s="14" t="s">
        <v>114</v>
      </c>
      <c r="G19" s="12" t="str">
        <f t="shared" si="3"/>
        <v>n/a</v>
      </c>
      <c r="H19" s="14" t="str">
        <f>FR1_IAC!C63</f>
        <v>Authenticator feedback</v>
      </c>
      <c r="I19" s="15" t="str">
        <f>FR1_IAC!C64</f>
        <v>When a component provides an authentication capability, the component shall provide the capability to obscure feedback of authentication information during the authentication process.</v>
      </c>
      <c r="J19" s="14">
        <f>FR1_IAC!J65</f>
        <v>1</v>
      </c>
      <c r="K19" s="15">
        <f>FR1_IAC!D64</f>
        <v>0</v>
      </c>
      <c r="L19" s="12" t="s">
        <v>104</v>
      </c>
      <c r="M19" s="14" t="str">
        <f>FR1_IAC!A63</f>
        <v>CR</v>
      </c>
      <c r="N19" s="14" t="str">
        <f>FR1_IAC!B63</f>
        <v>1.10</v>
      </c>
      <c r="O19" s="12" t="s">
        <v>105</v>
      </c>
      <c r="P19" s="12" t="str">
        <f t="shared" si="1"/>
        <v>1.10 CR</v>
      </c>
    </row>
    <row r="20" spans="1:16" ht="116" x14ac:dyDescent="0.35">
      <c r="A20" s="12">
        <v>19</v>
      </c>
      <c r="B20" s="12" t="str">
        <f t="shared" si="0"/>
        <v>IEC 62443-4-2 - 1.11 CR</v>
      </c>
      <c r="C20" s="14">
        <f>FR1_IAC!D68</f>
        <v>0</v>
      </c>
      <c r="D20" s="12" t="s">
        <v>102</v>
      </c>
      <c r="E20" s="14" t="str">
        <f t="shared" si="2"/>
        <v>FR 1 - Identification and authentication control (IAC)</v>
      </c>
      <c r="F20" s="14" t="s">
        <v>115</v>
      </c>
      <c r="G20" s="12" t="str">
        <f t="shared" si="3"/>
        <v>n/a</v>
      </c>
      <c r="H20" s="14" t="str">
        <f>FR1_IAC!C66</f>
        <v>Unsuccessful login attempts</v>
      </c>
      <c r="I20" s="15" t="str">
        <f>FR1_IAC!C67</f>
        <v>When a component provides an authentication capability, the component shall provide the capability to:
a) enforce a limit of a configurable number of consecutive invalid access attempts by any user (human, software process or device) during a configurable time period; and
b) deny access for a specified period of time or until unlocked by an administrator when this limit has been reached. An administrator may unlock an account prior to the expiration of the timeout period.</v>
      </c>
      <c r="J20" s="14">
        <f>FR1_IAC!J68</f>
        <v>1</v>
      </c>
      <c r="K20" s="15">
        <f>FR1_IAC!D67</f>
        <v>0</v>
      </c>
      <c r="L20" s="12" t="s">
        <v>104</v>
      </c>
      <c r="M20" s="14" t="str">
        <f>FR1_IAC!A66</f>
        <v>CR</v>
      </c>
      <c r="N20" s="14" t="str">
        <f>FR1_IAC!B66</f>
        <v>1.11</v>
      </c>
      <c r="O20" s="12" t="s">
        <v>105</v>
      </c>
      <c r="P20" s="12" t="str">
        <f t="shared" si="1"/>
        <v>1.11 CR</v>
      </c>
    </row>
    <row r="21" spans="1:16" ht="43.5" x14ac:dyDescent="0.35">
      <c r="A21" s="12">
        <v>20</v>
      </c>
      <c r="B21" s="12" t="str">
        <f t="shared" si="0"/>
        <v>IEC 62443-4-2 - 1.12 CR</v>
      </c>
      <c r="C21" s="14">
        <f>FR1_IAC!D71</f>
        <v>0</v>
      </c>
      <c r="D21" s="12" t="s">
        <v>102</v>
      </c>
      <c r="E21" s="14" t="str">
        <f t="shared" si="2"/>
        <v>FR 1 - Identification and authentication control (IAC)</v>
      </c>
      <c r="F21" s="14" t="s">
        <v>116</v>
      </c>
      <c r="G21" s="12" t="str">
        <f t="shared" si="3"/>
        <v>n/a</v>
      </c>
      <c r="H21" s="14" t="str">
        <f>FR1_IAC!C69</f>
        <v>System use notification</v>
      </c>
      <c r="I21" s="15" t="str">
        <f>FR1_IAC!C70</f>
        <v>When a component provides local human user access/HMI, it shall provide the capability to display a system use notification message before authenticating. The system use notification message shall be configurable by authorized personnel.</v>
      </c>
      <c r="J21" s="14">
        <f>FR1_IAC!J71</f>
        <v>1</v>
      </c>
      <c r="K21" s="15">
        <f>FR1_IAC!D70</f>
        <v>0</v>
      </c>
      <c r="L21" s="12" t="s">
        <v>104</v>
      </c>
      <c r="M21" s="14" t="str">
        <f>FR1_IAC!A69</f>
        <v>CR</v>
      </c>
      <c r="N21" s="14" t="str">
        <f>FR1_IAC!B69</f>
        <v>1.12</v>
      </c>
      <c r="O21" s="12" t="s">
        <v>105</v>
      </c>
      <c r="P21" s="12" t="str">
        <f t="shared" si="1"/>
        <v>1.12 CR</v>
      </c>
    </row>
    <row r="22" spans="1:16" ht="43.5" x14ac:dyDescent="0.35">
      <c r="A22" s="12">
        <v>21</v>
      </c>
      <c r="B22" s="12" t="str">
        <f t="shared" si="0"/>
        <v>IEC 62443-4-2 - 1.13 NDR</v>
      </c>
      <c r="C22" s="14">
        <f>FR1_IAC!D74</f>
        <v>0</v>
      </c>
      <c r="D22" s="12" t="s">
        <v>102</v>
      </c>
      <c r="E22" s="14" t="str">
        <f t="shared" si="2"/>
        <v>FR 1 - Identification and authentication control (IAC)</v>
      </c>
      <c r="F22" s="14" t="s">
        <v>117</v>
      </c>
      <c r="G22" s="12" t="str">
        <f t="shared" si="3"/>
        <v>n/a</v>
      </c>
      <c r="H22" s="14" t="str">
        <f>FR1_IAC!C72</f>
        <v>Access via untrusted networks</v>
      </c>
      <c r="I22" s="15" t="str">
        <f>FR1_IAC!C73</f>
        <v>The network device supporting device access into a network shall provide the capability to monitor and control all methods of access to the network device via untrusted networks.</v>
      </c>
      <c r="J22" s="14">
        <f>FR1_IAC!J74</f>
        <v>1</v>
      </c>
      <c r="K22" s="15">
        <f>FR1_IAC!D73</f>
        <v>0</v>
      </c>
      <c r="L22" s="12" t="s">
        <v>104</v>
      </c>
      <c r="M22" s="14" t="str">
        <f>FR1_IAC!A72</f>
        <v>NDR</v>
      </c>
      <c r="N22" s="14" t="str">
        <f>FR1_IAC!B72</f>
        <v>1.13</v>
      </c>
      <c r="O22" s="12" t="s">
        <v>105</v>
      </c>
      <c r="P22" s="12" t="str">
        <f t="shared" si="1"/>
        <v>1.13 NDR</v>
      </c>
    </row>
    <row r="23" spans="1:16" ht="29" x14ac:dyDescent="0.35">
      <c r="A23" s="12">
        <v>22</v>
      </c>
      <c r="B23" s="12" t="str">
        <f t="shared" si="0"/>
        <v>IEC 62443-4-2 - 1.13.1 NDR RE</v>
      </c>
      <c r="C23" s="14">
        <f>FR1_IAC!D77</f>
        <v>0</v>
      </c>
      <c r="D23" s="12" t="s">
        <v>102</v>
      </c>
      <c r="E23" s="14" t="str">
        <f t="shared" si="2"/>
        <v>FR 1 - Identification and authentication control (IAC)</v>
      </c>
      <c r="F23" s="14" t="s">
        <v>117</v>
      </c>
      <c r="G23" s="12" t="str">
        <f t="shared" si="3"/>
        <v>RE(1)</v>
      </c>
      <c r="H23" s="14" t="str">
        <f>FR1_IAC!C75</f>
        <v>Explicity access request approval</v>
      </c>
      <c r="I23" s="15" t="str">
        <f>FR1_IAC!C76</f>
        <v>The network device shall provide the capability to deny access requests via untrusted networks unless explicitly approved by an assigned role.</v>
      </c>
      <c r="J23" s="14">
        <f>FR1_IAC!J77</f>
        <v>3</v>
      </c>
      <c r="K23" s="15">
        <f>FR1_IAC!D76</f>
        <v>0</v>
      </c>
      <c r="L23" s="12" t="s">
        <v>104</v>
      </c>
      <c r="M23" s="14" t="str">
        <f>FR1_IAC!A75</f>
        <v>NDR RE</v>
      </c>
      <c r="N23" s="14" t="str">
        <f>FR1_IAC!B75</f>
        <v>1.13.1</v>
      </c>
      <c r="O23" s="12" t="s">
        <v>105</v>
      </c>
      <c r="P23" s="12" t="str">
        <f t="shared" si="1"/>
        <v>1.13 NDR</v>
      </c>
    </row>
    <row r="24" spans="1:16" ht="116" x14ac:dyDescent="0.35">
      <c r="A24" s="12">
        <v>23</v>
      </c>
      <c r="B24" s="12" t="str">
        <f t="shared" si="0"/>
        <v>IEC 62443-4-2 - 1.14 CR</v>
      </c>
      <c r="C24" s="14">
        <f>FR1_IAC!D80</f>
        <v>0</v>
      </c>
      <c r="D24" s="12" t="s">
        <v>102</v>
      </c>
      <c r="E24" s="14" t="str">
        <f t="shared" si="2"/>
        <v>FR 1 - Identification and authentication control (IAC)</v>
      </c>
      <c r="F24" s="14" t="s">
        <v>118</v>
      </c>
      <c r="G24" s="12" t="str">
        <f t="shared" si="3"/>
        <v>n/a</v>
      </c>
      <c r="H24" s="14" t="str">
        <f>FR1_IAC!C78</f>
        <v>Strength of symmetric key authentication</v>
      </c>
      <c r="I24" s="15" t="str">
        <f>FR1_IAC!C79</f>
        <v>For components that utilize symmetric keys, the component shall provide the capability to:
a) establish the mutual trust using the symmetric key;
b) store securely the shared secret (the authentication is valid as long as the shared secret remains secret);
c) restrict access to the shared secret; and
d) ensure that the algorithms and keys used for the symmetric key authentication comply with CR 4.3 – Use of cryptography.</v>
      </c>
      <c r="J24" s="14">
        <f>FR1_IAC!J80</f>
        <v>2</v>
      </c>
      <c r="K24" s="15">
        <f>FR1_IAC!D79</f>
        <v>0</v>
      </c>
      <c r="L24" s="12" t="s">
        <v>104</v>
      </c>
      <c r="M24" s="14" t="str">
        <f>FR1_IAC!A78</f>
        <v>CR</v>
      </c>
      <c r="N24" s="14" t="str">
        <f>FR1_IAC!B78</f>
        <v>1.14</v>
      </c>
      <c r="O24" s="12" t="s">
        <v>105</v>
      </c>
      <c r="P24" s="12" t="str">
        <f t="shared" si="1"/>
        <v>1.14 CR</v>
      </c>
    </row>
    <row r="25" spans="1:16" ht="29" x14ac:dyDescent="0.35">
      <c r="A25" s="12">
        <v>24</v>
      </c>
      <c r="B25" s="12" t="str">
        <f t="shared" si="0"/>
        <v>IEC 62443-4-2 - 1.14.1 CR RE</v>
      </c>
      <c r="C25" s="14">
        <f>FR1_IAC!D83</f>
        <v>0</v>
      </c>
      <c r="D25" s="12" t="s">
        <v>102</v>
      </c>
      <c r="E25" s="14" t="str">
        <f t="shared" si="2"/>
        <v>FR 1 - Identification and authentication control (IAC)</v>
      </c>
      <c r="F25" s="14" t="s">
        <v>118</v>
      </c>
      <c r="G25" s="12" t="str">
        <f t="shared" si="3"/>
        <v>RE(1)</v>
      </c>
      <c r="H25" s="14" t="str">
        <f>FR1_IAC!C81</f>
        <v>Hardware security for symmetric key-based authentication</v>
      </c>
      <c r="I25" s="15" t="str">
        <f>FR1_IAC!C82</f>
        <v>Components shall provide the capability to protect critical, long lived symmetric keys via hardware mechanisms.</v>
      </c>
      <c r="J25" s="14">
        <f>FR1_IAC!J83</f>
        <v>3</v>
      </c>
      <c r="K25" s="15">
        <f>FR1_IAC!D82</f>
        <v>0</v>
      </c>
      <c r="L25" s="12" t="s">
        <v>104</v>
      </c>
      <c r="M25" s="14" t="str">
        <f>FR1_IAC!A81</f>
        <v>CR RE</v>
      </c>
      <c r="N25" s="14" t="str">
        <f>FR1_IAC!B81</f>
        <v>1.14.1</v>
      </c>
      <c r="O25" s="12" t="s">
        <v>105</v>
      </c>
      <c r="P25" s="12" t="str">
        <f t="shared" si="1"/>
        <v>1.14 CR</v>
      </c>
    </row>
    <row r="26" spans="1:16" ht="29" x14ac:dyDescent="0.35">
      <c r="A26" s="12">
        <v>25</v>
      </c>
      <c r="B26" s="12" t="str">
        <f t="shared" si="0"/>
        <v>IEC 62443-4-2 - 2.1 CR</v>
      </c>
      <c r="C26" s="14">
        <f>FR2_UC!D11</f>
        <v>0</v>
      </c>
      <c r="D26" s="12" t="s">
        <v>102</v>
      </c>
      <c r="E26" s="14" t="str">
        <f>FR2_UC!A$7</f>
        <v>FR 2 - Use Control (UC)</v>
      </c>
      <c r="F26" s="14" t="s">
        <v>119</v>
      </c>
      <c r="G26" s="12" t="str">
        <f t="shared" si="3"/>
        <v>n/a</v>
      </c>
      <c r="H26" s="14" t="str">
        <f>FR2_UC!C9</f>
        <v>Authorization enforcement</v>
      </c>
      <c r="I26" s="15" t="str">
        <f>FR2_UC!C10</f>
        <v>The component shall provide an authorization enforcement mechanism for all identified and authenticated human users based on their assigned responsibilities.</v>
      </c>
      <c r="J26" s="14">
        <f>FR2_UC!J11</f>
        <v>1</v>
      </c>
      <c r="K26" s="15">
        <f>FR2_UC!D10</f>
        <v>0</v>
      </c>
      <c r="L26" s="12" t="s">
        <v>104</v>
      </c>
      <c r="M26" s="12" t="str">
        <f>FR2_UC!A9</f>
        <v>CR</v>
      </c>
      <c r="N26" s="14" t="str">
        <f>FR2_UC!B9</f>
        <v>2.1</v>
      </c>
      <c r="O26" s="12" t="s">
        <v>105</v>
      </c>
      <c r="P26" s="12" t="str">
        <f t="shared" si="1"/>
        <v>2.1 CR</v>
      </c>
    </row>
    <row r="27" spans="1:16" ht="29" x14ac:dyDescent="0.35">
      <c r="A27" s="12">
        <v>26</v>
      </c>
      <c r="B27" s="12" t="str">
        <f t="shared" si="0"/>
        <v>IEC 62443-4-2 - 2.1.1 CR RE</v>
      </c>
      <c r="C27" s="14">
        <f>FR2_UC!D14</f>
        <v>0</v>
      </c>
      <c r="D27" s="12" t="s">
        <v>102</v>
      </c>
      <c r="E27" s="14" t="str">
        <f t="shared" si="2"/>
        <v>FR 2 - Use Control (UC)</v>
      </c>
      <c r="F27" s="14" t="s">
        <v>119</v>
      </c>
      <c r="G27" s="12" t="str">
        <f t="shared" si="3"/>
        <v>RE(1)</v>
      </c>
      <c r="H27" s="14" t="str">
        <f>FR2_UC!C12</f>
        <v>Authorization enforcement for all users (humans, software processes and devices)</v>
      </c>
      <c r="I27" s="15" t="str">
        <f>FR2_UC!C13</f>
        <v>Components shall provide an authorization enforcement mechanism for all users based on their assigned responsibilities and least privilege.</v>
      </c>
      <c r="J27" s="14">
        <f>FR2_UC!J14</f>
        <v>2</v>
      </c>
      <c r="K27" s="15">
        <f>FR2_UC!D13</f>
        <v>0</v>
      </c>
      <c r="L27" s="12" t="s">
        <v>104</v>
      </c>
      <c r="M27" s="12" t="str">
        <f>FR2_UC!A12</f>
        <v>CR RE</v>
      </c>
      <c r="N27" s="14" t="str">
        <f>FR2_UC!B12</f>
        <v>2.1.1</v>
      </c>
      <c r="O27" s="12" t="s">
        <v>105</v>
      </c>
      <c r="P27" s="12" t="str">
        <f t="shared" si="1"/>
        <v>2.1 CR</v>
      </c>
    </row>
    <row r="28" spans="1:16" ht="130.5" x14ac:dyDescent="0.35">
      <c r="A28" s="12">
        <v>27</v>
      </c>
      <c r="B28" s="12" t="str">
        <f t="shared" si="0"/>
        <v>IEC 62443-4-2 - 2.1.2 CR RE</v>
      </c>
      <c r="C28" s="14">
        <f>FR2_UC!D17</f>
        <v>0</v>
      </c>
      <c r="D28" s="12" t="s">
        <v>102</v>
      </c>
      <c r="E28" s="14" t="str">
        <f t="shared" si="2"/>
        <v>FR 2 - Use Control (UC)</v>
      </c>
      <c r="F28" s="14" t="s">
        <v>119</v>
      </c>
      <c r="G28" s="12" t="str">
        <f t="shared" si="3"/>
        <v>RE(2)</v>
      </c>
      <c r="H28" s="14" t="str">
        <f>FR2_UC!C15</f>
        <v>Permission mapping to roles</v>
      </c>
      <c r="I28" s="15" t="str">
        <f>FR2_UC!C16</f>
        <v>Components shall, directly or through a compensating security mechanism, provide for an
authorized role to define and modify the mapping of permissions to roles for all human users.
Roles should not be limited to fixed nested hierarchies in which a higher-level role is a
super set of a lesser privileged role. For example, a system administrator should not necessarily encompass operator privileges.
NOTE 1 This RE is applicable to software processes and devices as well.</v>
      </c>
      <c r="J28" s="14">
        <f>FR2_UC!J17</f>
        <v>2</v>
      </c>
      <c r="K28" s="15">
        <f>FR2_UC!D16</f>
        <v>0</v>
      </c>
      <c r="L28" s="12" t="s">
        <v>104</v>
      </c>
      <c r="M28" s="12" t="str">
        <f>FR2_UC!A15</f>
        <v>CR RE</v>
      </c>
      <c r="N28" s="14" t="str">
        <f>FR2_UC!B15</f>
        <v>2.1.2</v>
      </c>
      <c r="O28" s="12" t="s">
        <v>105</v>
      </c>
      <c r="P28" s="12" t="str">
        <f t="shared" si="1"/>
        <v>2.1 CR</v>
      </c>
    </row>
    <row r="29" spans="1:16" ht="101.5" x14ac:dyDescent="0.35">
      <c r="A29" s="12">
        <v>28</v>
      </c>
      <c r="B29" s="12" t="str">
        <f t="shared" si="0"/>
        <v>IEC 62443-4-2 - 2.1.3 CR RE</v>
      </c>
      <c r="C29" s="14">
        <f>FR2_UC!D20</f>
        <v>0</v>
      </c>
      <c r="D29" s="12" t="s">
        <v>102</v>
      </c>
      <c r="E29" s="14" t="str">
        <f t="shared" si="2"/>
        <v>FR 2 - Use Control (UC)</v>
      </c>
      <c r="F29" s="14" t="s">
        <v>119</v>
      </c>
      <c r="G29" s="12" t="str">
        <f t="shared" si="3"/>
        <v>RE(3)</v>
      </c>
      <c r="H29" s="14" t="str">
        <f>FR2_UC!C18</f>
        <v>Supervisor override</v>
      </c>
      <c r="I29" s="15" t="str">
        <f>FR2_UC!C19</f>
        <v>Components shall support a supervisor manual override for a configurable time or sequence of events.
NOTE 2 Implementation of a controlled, audited and manual override of automated mechanisms in the event of emergencies or other serious events is often needed. This allows a supervisor to enable an operator to quickly react to unusual conditions without closing the current session and establishing a new session as a higher privilege human user.</v>
      </c>
      <c r="J29" s="14">
        <f>FR2_UC!J20</f>
        <v>3</v>
      </c>
      <c r="K29" s="15">
        <f>FR2_UC!D19</f>
        <v>0</v>
      </c>
      <c r="L29" s="12" t="s">
        <v>104</v>
      </c>
      <c r="M29" s="12" t="str">
        <f>FR2_UC!A18</f>
        <v>CR RE</v>
      </c>
      <c r="N29" s="14" t="str">
        <f>FR2_UC!B18</f>
        <v>2.1.3</v>
      </c>
      <c r="O29" s="12" t="s">
        <v>105</v>
      </c>
      <c r="P29" s="12" t="str">
        <f t="shared" si="1"/>
        <v>2.1 CR</v>
      </c>
    </row>
    <row r="30" spans="1:16" ht="174" x14ac:dyDescent="0.35">
      <c r="A30" s="12">
        <v>29</v>
      </c>
      <c r="B30" s="12" t="str">
        <f t="shared" si="0"/>
        <v>IEC 62443-4-2 - 2.1.4 CR RE</v>
      </c>
      <c r="C30" s="14">
        <f>FR2_UC!D23</f>
        <v>0</v>
      </c>
      <c r="D30" s="12" t="s">
        <v>102</v>
      </c>
      <c r="E30" s="14" t="str">
        <f t="shared" si="2"/>
        <v>FR 2 - Use Control (UC)</v>
      </c>
      <c r="F30" s="14" t="s">
        <v>119</v>
      </c>
      <c r="G30" s="12" t="str">
        <f t="shared" si="3"/>
        <v>RE(4)</v>
      </c>
      <c r="H30" s="14" t="str">
        <f>FR2_UC!C21</f>
        <v>Dual approval</v>
      </c>
      <c r="I30" s="15" t="str">
        <f>FR2_UC!C22</f>
        <v>Components shall support dual approval when action can result in serious impact on the
industrial process.
Dual approval should be limited to actions which require a very high level of confidence that they will be performed reliably and correctly. Requiring dual approval provides emphasis to the seriousness of consequences that would result from failure of a correct action. An example of a situation in which dual approval is required would be a change to a set point of a critical industrial process. Dual approval mechanisms should not be
employed when an immediate response is necessary to safeguard HSE consequences, for
example, emergency shutdown of an industrial process.</v>
      </c>
      <c r="J30" s="14">
        <f>FR2_UC!J23</f>
        <v>4</v>
      </c>
      <c r="K30" s="15">
        <f>FR2_UC!D22</f>
        <v>0</v>
      </c>
      <c r="L30" s="12" t="s">
        <v>104</v>
      </c>
      <c r="M30" s="12" t="str">
        <f>FR2_UC!A21</f>
        <v>CR RE</v>
      </c>
      <c r="N30" s="14" t="str">
        <f>FR2_UC!B21</f>
        <v>2.1.4</v>
      </c>
      <c r="O30" s="12" t="s">
        <v>105</v>
      </c>
      <c r="P30" s="12" t="str">
        <f t="shared" si="1"/>
        <v>2.1 CR</v>
      </c>
    </row>
    <row r="31" spans="1:16" ht="43.5" x14ac:dyDescent="0.35">
      <c r="A31" s="12">
        <v>30</v>
      </c>
      <c r="B31" s="12" t="str">
        <f t="shared" si="0"/>
        <v>IEC 62443-4-2 - 2.2 CR</v>
      </c>
      <c r="C31" s="14">
        <f>FR2_UC!D26</f>
        <v>0</v>
      </c>
      <c r="D31" s="12" t="s">
        <v>102</v>
      </c>
      <c r="E31" s="14" t="str">
        <f t="shared" si="2"/>
        <v>FR 2 - Use Control (UC)</v>
      </c>
      <c r="F31" s="14" t="s">
        <v>120</v>
      </c>
      <c r="G31" s="12" t="str">
        <f t="shared" si="3"/>
        <v>n/a</v>
      </c>
      <c r="H31" s="14" t="str">
        <f>FR2_UC!C24</f>
        <v xml:space="preserve">Wireless use control </v>
      </c>
      <c r="I31" s="15" t="str">
        <f>FR2_UC!C25</f>
        <v>If a component supports usage through wireless interfaces it shall provide the capability to authorize, monitor and enforce usage restrictions according to commonly accepted industry practices.</v>
      </c>
      <c r="J31" s="14">
        <f>FR2_UC!J26</f>
        <v>1</v>
      </c>
      <c r="K31" s="15">
        <f>FR2_UC!D25</f>
        <v>0</v>
      </c>
      <c r="L31" s="12" t="s">
        <v>104</v>
      </c>
      <c r="M31" s="12" t="str">
        <f>FR2_UC!A24</f>
        <v>CR</v>
      </c>
      <c r="N31" s="14" t="str">
        <f>FR2_UC!B24</f>
        <v>2.2</v>
      </c>
      <c r="O31" s="12" t="s">
        <v>105</v>
      </c>
      <c r="P31" s="12" t="str">
        <f t="shared" si="1"/>
        <v>2.2 CR</v>
      </c>
    </row>
    <row r="32" spans="1:16" x14ac:dyDescent="0.35">
      <c r="A32" s="12">
        <v>31</v>
      </c>
      <c r="B32" s="12" t="str">
        <f t="shared" si="0"/>
        <v>IEC 62443-4-2 - 2.3 CR</v>
      </c>
      <c r="C32" s="14">
        <f>FR2_UC!D29</f>
        <v>0</v>
      </c>
      <c r="D32" s="12" t="s">
        <v>102</v>
      </c>
      <c r="E32" s="14" t="str">
        <f t="shared" si="2"/>
        <v>FR 2 - Use Control (UC)</v>
      </c>
      <c r="F32" s="14" t="s">
        <v>121</v>
      </c>
      <c r="G32" s="12" t="str">
        <f t="shared" si="3"/>
        <v>n/a</v>
      </c>
      <c r="H32" s="14" t="str">
        <f>FR2_UC!C27</f>
        <v>Use control for portable and mobile devices</v>
      </c>
      <c r="I32" s="15" t="str">
        <f>FR2_UC!C28</f>
        <v xml:space="preserve">There is no component level requirement associated with ISA‑62443‑3‑3 SR 2.3. </v>
      </c>
      <c r="J32" s="14">
        <f>FR2_UC!J29</f>
        <v>0</v>
      </c>
      <c r="K32" s="15">
        <f>FR2_UC!D28</f>
        <v>0</v>
      </c>
      <c r="L32" s="12" t="s">
        <v>104</v>
      </c>
      <c r="M32" s="12" t="str">
        <f>FR2_UC!A27</f>
        <v>CR</v>
      </c>
      <c r="N32" s="14" t="str">
        <f>FR2_UC!B27</f>
        <v>2.3</v>
      </c>
      <c r="O32" s="12" t="s">
        <v>105</v>
      </c>
      <c r="P32" s="12" t="str">
        <f t="shared" si="1"/>
        <v>2.3 CR</v>
      </c>
    </row>
    <row r="33" spans="1:16" ht="145" x14ac:dyDescent="0.35">
      <c r="A33" s="12">
        <v>32</v>
      </c>
      <c r="B33" s="12" t="str">
        <f t="shared" si="0"/>
        <v>IEC 62443-4-2 - 2.4 SAR</v>
      </c>
      <c r="C33" s="14">
        <f>FR2_UC!D32</f>
        <v>0</v>
      </c>
      <c r="D33" s="12" t="s">
        <v>102</v>
      </c>
      <c r="E33" s="14" t="str">
        <f t="shared" si="2"/>
        <v>FR 2 - Use Control (UC)</v>
      </c>
      <c r="F33" s="14" t="s">
        <v>122</v>
      </c>
      <c r="G33" s="12" t="str">
        <f t="shared" si="3"/>
        <v>n/a</v>
      </c>
      <c r="H33" s="14" t="str">
        <f>FR2_UC!C30</f>
        <v>Mobile code</v>
      </c>
      <c r="I33" s="15" t="str">
        <f>FR2_UC!C31</f>
        <v>In the event that a software application utilizes mobile code technologies, that application shall provide the capability to enforce a security policy for the usage of mobile code technologies.  The security policy shall allow, at a minimum, the following actions for each mobile code technology used on the software application:
a) Control execution of mobile code;
b) Control which users (human, software process, or device) are allowed to transfer mobile code to/from the application;
c) Control the execution of mobile code based on the results of an integrity check prior to the code being executed.</v>
      </c>
      <c r="J33" s="14">
        <f>FR2_UC!J32</f>
        <v>1</v>
      </c>
      <c r="K33" s="15">
        <f>FR2_UC!D31</f>
        <v>0</v>
      </c>
      <c r="L33" s="12" t="s">
        <v>104</v>
      </c>
      <c r="M33" s="12" t="str">
        <f>FR2_UC!A30</f>
        <v>SAR</v>
      </c>
      <c r="N33" s="14" t="str">
        <f>FR2_UC!B30</f>
        <v>2.4</v>
      </c>
      <c r="O33" s="12" t="s">
        <v>105</v>
      </c>
      <c r="P33" s="12" t="str">
        <f t="shared" si="1"/>
        <v>2.4 SAR</v>
      </c>
    </row>
    <row r="34" spans="1:16" ht="43.5" x14ac:dyDescent="0.35">
      <c r="A34" s="12">
        <v>33</v>
      </c>
      <c r="B34" s="12" t="str">
        <f t="shared" ref="B34:B65" si="4">CONCATENATE(L34," - ",N34," ",M34)</f>
        <v>IEC 62443-4-2 - 2.4.1 SAR RE</v>
      </c>
      <c r="C34" s="14">
        <f>FR2_UC!D35</f>
        <v>0</v>
      </c>
      <c r="D34" s="12" t="s">
        <v>102</v>
      </c>
      <c r="E34" s="14" t="str">
        <f t="shared" si="2"/>
        <v>FR 2 - Use Control (UC)</v>
      </c>
      <c r="F34" s="14" t="s">
        <v>122</v>
      </c>
      <c r="G34" s="12" t="str">
        <f t="shared" si="3"/>
        <v>RE(1)</v>
      </c>
      <c r="H34" s="14" t="str">
        <f>FR2_UC!C33</f>
        <v>Mobile code authenticity check</v>
      </c>
      <c r="I34" s="15" t="str">
        <f>FR2_UC!C34</f>
        <v>The application shall provide the capability to enforce a security policy that allows the device to control execution of mobile code based on the results of an authenticity check prior to the code being executed.</v>
      </c>
      <c r="J34" s="14">
        <f>FR2_UC!J35</f>
        <v>2</v>
      </c>
      <c r="K34" s="15">
        <f>FR2_UC!D34</f>
        <v>0</v>
      </c>
      <c r="L34" s="12" t="s">
        <v>104</v>
      </c>
      <c r="M34" s="12" t="str">
        <f>FR2_UC!A33</f>
        <v>SAR RE</v>
      </c>
      <c r="N34" s="14" t="str">
        <f>FR2_UC!B33</f>
        <v>2.4.1</v>
      </c>
      <c r="O34" s="12" t="s">
        <v>105</v>
      </c>
      <c r="P34" s="12" t="str">
        <f t="shared" ref="P34:P65" si="5">IF(ISNUMBER(SEARCH(" ",M34)),CONCATENATE(MID(N34,1,LEN(N34)-2)," ",LEFT(M34,FIND(" ",M34)-1)),CONCATENATE(N34," ",M34))</f>
        <v>2.4 SAR</v>
      </c>
    </row>
    <row r="35" spans="1:16" ht="409.5" x14ac:dyDescent="0.35">
      <c r="A35" s="12">
        <v>34</v>
      </c>
      <c r="B35" s="12" t="str">
        <f t="shared" si="4"/>
        <v>IEC 62443-4-2 - 2.4 EDR</v>
      </c>
      <c r="C35" s="14" t="str">
        <f>FR2_UC!D40</f>
        <v>Supported with some restrictions/partly needs clarifications</v>
      </c>
      <c r="D35" s="12" t="s">
        <v>102</v>
      </c>
      <c r="E35" s="14" t="str">
        <f t="shared" si="2"/>
        <v>FR 2 - Use Control (UC)</v>
      </c>
      <c r="F35" s="14" t="s">
        <v>123</v>
      </c>
      <c r="G35" s="12" t="str">
        <f t="shared" si="3"/>
        <v>n/a</v>
      </c>
      <c r="H35" s="14" t="str">
        <f>FR2_UC!C36</f>
        <v>Mobile code</v>
      </c>
      <c r="I35" s="15" t="str">
        <f>FR2_UC!C37</f>
        <v>In the event that an embedded device utilizes mobile code technologies, the embedded device shall provide the capability to enforce a security policy for the usage of mobile code technologies.  The security policy shall allow, at a minimum, the following actions for each mobile code technology used on the embedded device:
a) Control execution of mobile code;</v>
      </c>
      <c r="J35" s="14">
        <f>FR2_UC!J40</f>
        <v>1</v>
      </c>
      <c r="K35" s="15" t="str">
        <f>FR2_UC!D37</f>
        <v xml:space="preserve">MCSR MP-5.1 is concentrating on Windows Malware scanning. This EDR 2.4 is more appropriate for Embedded devices.
Definition from 62443:
3.1.29 mobile code
program transferred between assets that can be executed without explicit installation by the
recipient
EXAMPLE JavaScript, VBScript, Java applets, ActiveX controls, Flash animations, Shockwave movies, and
Microsoft Office macros. </v>
      </c>
      <c r="L35" s="12" t="s">
        <v>104</v>
      </c>
      <c r="M35" s="12" t="str">
        <f>FR2_UC!A36</f>
        <v>EDR</v>
      </c>
      <c r="N35" s="14" t="str">
        <f>FR2_UC!B36</f>
        <v>2.4</v>
      </c>
      <c r="O35" s="12" t="s">
        <v>105</v>
      </c>
      <c r="P35" s="12" t="str">
        <f t="shared" si="5"/>
        <v>2.4 EDR</v>
      </c>
    </row>
    <row r="36" spans="1:16" ht="43.5" x14ac:dyDescent="0.35">
      <c r="A36" s="12">
        <v>35</v>
      </c>
      <c r="B36" s="12" t="str">
        <f t="shared" si="4"/>
        <v>IEC 62443-4-2 - 2.4.1 EDR RE</v>
      </c>
      <c r="C36" s="14" t="str">
        <f>FR2_UC!D43</f>
        <v>Supported with some restrictions/partly needs clarifications</v>
      </c>
      <c r="D36" s="12" t="s">
        <v>102</v>
      </c>
      <c r="E36" s="14" t="str">
        <f t="shared" si="2"/>
        <v>FR 2 - Use Control (UC)</v>
      </c>
      <c r="F36" s="14" t="s">
        <v>123</v>
      </c>
      <c r="G36" s="12" t="str">
        <f t="shared" si="3"/>
        <v>RE(1)</v>
      </c>
      <c r="H36" s="14" t="str">
        <f>FR2_UC!C41</f>
        <v>Mobile code authenticity check</v>
      </c>
      <c r="I36" s="15" t="str">
        <f>FR2_UC!C42</f>
        <v>The embedded device shall provide the capability to enforce a security policy that allows the device to control execution of mobile code based on the results of an authenticity check prior to the code being executed</v>
      </c>
      <c r="J36" s="14">
        <f>FR2_UC!J43</f>
        <v>2</v>
      </c>
      <c r="K36" s="15">
        <f>FR2_UC!D42</f>
        <v>0</v>
      </c>
      <c r="L36" s="12" t="s">
        <v>104</v>
      </c>
      <c r="M36" s="12" t="str">
        <f>FR2_UC!A41</f>
        <v>EDR RE</v>
      </c>
      <c r="N36" s="14" t="str">
        <f>FR2_UC!B41</f>
        <v>2.4.1</v>
      </c>
      <c r="O36" s="12" t="s">
        <v>105</v>
      </c>
      <c r="P36" s="12" t="str">
        <f t="shared" si="5"/>
        <v>2.4 EDR</v>
      </c>
    </row>
    <row r="37" spans="1:16" ht="130.5" x14ac:dyDescent="0.35">
      <c r="A37" s="12">
        <v>36</v>
      </c>
      <c r="B37" s="12" t="str">
        <f t="shared" si="4"/>
        <v>IEC 62443-4-2 - 2.4 HDR</v>
      </c>
      <c r="C37" s="14">
        <f>FR2_UC!D46</f>
        <v>0</v>
      </c>
      <c r="D37" s="12" t="s">
        <v>102</v>
      </c>
      <c r="E37" s="14" t="str">
        <f t="shared" si="2"/>
        <v>FR 2 - Use Control (UC)</v>
      </c>
      <c r="F37" s="14" t="s">
        <v>124</v>
      </c>
      <c r="G37" s="12" t="str">
        <f t="shared" si="3"/>
        <v>n/a</v>
      </c>
      <c r="H37" s="14" t="str">
        <f>FR2_UC!C44</f>
        <v>Mobile code</v>
      </c>
      <c r="I37" s="15" t="str">
        <f>FR2_UC!C45</f>
        <v>In the event that a host device utilizes mobile code technologies, the embedded device shall provide the capability to enforce a security policy for the usage of mobile code technologies.  The security policy shall allow, at a minimum, the following actions for each mobile code technology used on the host device:
a) Control execution of mobile code;
b) Control which users (human, software process, or device) are allowed to upload mobile code to the device;
c) Control the code execution based upon integrity checks on the mobile code and prior to the code being executed</v>
      </c>
      <c r="J37" s="14">
        <f>FR2_UC!J46</f>
        <v>1</v>
      </c>
      <c r="K37" s="15">
        <f>FR2_UC!D45</f>
        <v>0</v>
      </c>
      <c r="L37" s="12" t="s">
        <v>104</v>
      </c>
      <c r="M37" s="12" t="str">
        <f>FR2_UC!A44</f>
        <v>HDR</v>
      </c>
      <c r="N37" s="14" t="str">
        <f>FR2_UC!B44</f>
        <v>2.4</v>
      </c>
      <c r="O37" s="12" t="s">
        <v>105</v>
      </c>
      <c r="P37" s="12" t="str">
        <f t="shared" si="5"/>
        <v>2.4 HDR</v>
      </c>
    </row>
    <row r="38" spans="1:16" ht="43.5" x14ac:dyDescent="0.35">
      <c r="A38" s="12">
        <v>37</v>
      </c>
      <c r="B38" s="12" t="str">
        <f t="shared" si="4"/>
        <v>IEC 62443-4-2 - 2.4.1 HDR RE</v>
      </c>
      <c r="C38" s="14">
        <f>FR2_UC!D49</f>
        <v>0</v>
      </c>
      <c r="D38" s="12" t="s">
        <v>102</v>
      </c>
      <c r="E38" s="14" t="str">
        <f t="shared" si="2"/>
        <v>FR 2 - Use Control (UC)</v>
      </c>
      <c r="F38" s="14" t="s">
        <v>124</v>
      </c>
      <c r="G38" s="12" t="str">
        <f t="shared" si="3"/>
        <v>RE(1)</v>
      </c>
      <c r="H38" s="14" t="str">
        <f>FR2_UC!C47</f>
        <v>Mobile code authenticity check</v>
      </c>
      <c r="I38" s="15" t="str">
        <f>FR2_UC!C48</f>
        <v>The host device shall provide the capability to enforce a security policy that allows the device to control execution of mobile code based on the results of an authenticity check prior to the code being executed</v>
      </c>
      <c r="J38" s="14">
        <f>FR2_UC!J49</f>
        <v>2</v>
      </c>
      <c r="K38" s="15">
        <f>FR2_UC!D48</f>
        <v>0</v>
      </c>
      <c r="L38" s="12" t="s">
        <v>104</v>
      </c>
      <c r="M38" s="12" t="str">
        <f>FR2_UC!A47</f>
        <v>HDR RE</v>
      </c>
      <c r="N38" s="14" t="str">
        <f>FR2_UC!B47</f>
        <v>2.4.1</v>
      </c>
      <c r="O38" s="12" t="s">
        <v>105</v>
      </c>
      <c r="P38" s="12" t="str">
        <f t="shared" si="5"/>
        <v>2.4 HDR</v>
      </c>
    </row>
    <row r="39" spans="1:16" ht="130.5" x14ac:dyDescent="0.35">
      <c r="A39" s="12">
        <v>38</v>
      </c>
      <c r="B39" s="12" t="str">
        <f t="shared" si="4"/>
        <v>IEC 62443-4-2 - 2.4 NDR</v>
      </c>
      <c r="C39" s="14">
        <f>FR2_UC!D52</f>
        <v>0</v>
      </c>
      <c r="D39" s="12" t="s">
        <v>102</v>
      </c>
      <c r="E39" s="14" t="str">
        <f t="shared" si="2"/>
        <v>FR 2 - Use Control (UC)</v>
      </c>
      <c r="F39" s="14" t="s">
        <v>125</v>
      </c>
      <c r="G39" s="12" t="str">
        <f t="shared" si="3"/>
        <v>n/a</v>
      </c>
      <c r="H39" s="14" t="str">
        <f>FR2_UC!C50</f>
        <v>Mobile code</v>
      </c>
      <c r="I39" s="15" t="str">
        <f>FR2_UC!C51</f>
        <v>In the event that a network device utilizes mobile code technologies, the embedded device shall provide the capability to enforce a security policy for the usage of mobile code technologies.  The security policy shall allow, at a minimum, the following actions for each mobile code technology used on the network device:
a) Control execution of mobile code;
b) Control which users (human, software process, or device) are allowed to upload mobile code to the device;
c) Control the code execution based upon integrity checks on the mobile code and prior to the code being executed</v>
      </c>
      <c r="J39" s="14">
        <f>FR2_UC!J52</f>
        <v>1</v>
      </c>
      <c r="K39" s="15">
        <f>FR2_UC!D51</f>
        <v>0</v>
      </c>
      <c r="L39" s="12" t="s">
        <v>104</v>
      </c>
      <c r="M39" s="12" t="str">
        <f>FR2_UC!A50</f>
        <v>NDR</v>
      </c>
      <c r="N39" s="14" t="str">
        <f>FR2_UC!B50</f>
        <v>2.4</v>
      </c>
      <c r="O39" s="12" t="s">
        <v>105</v>
      </c>
      <c r="P39" s="12" t="str">
        <f t="shared" si="5"/>
        <v>2.4 NDR</v>
      </c>
    </row>
    <row r="40" spans="1:16" ht="43.5" x14ac:dyDescent="0.35">
      <c r="A40" s="12">
        <v>39</v>
      </c>
      <c r="B40" s="12" t="str">
        <f t="shared" si="4"/>
        <v>IEC 62443-4-2 - 2.4.1 NDR RE</v>
      </c>
      <c r="C40" s="14">
        <f>FR2_UC!D55</f>
        <v>0</v>
      </c>
      <c r="D40" s="12" t="s">
        <v>102</v>
      </c>
      <c r="E40" s="14" t="str">
        <f t="shared" si="2"/>
        <v>FR 2 - Use Control (UC)</v>
      </c>
      <c r="F40" s="14" t="s">
        <v>125</v>
      </c>
      <c r="G40" s="12" t="str">
        <f t="shared" si="3"/>
        <v>RE(1)</v>
      </c>
      <c r="H40" s="14" t="str">
        <f>FR2_UC!C53</f>
        <v>Mobile code authenticity check</v>
      </c>
      <c r="I40" s="15" t="str">
        <f>FR2_UC!C54</f>
        <v>The host device shall provide the capability to enforce a security policy that allows the device to control execution of mobile code based on the results of an authenticity check prior to the code being executed</v>
      </c>
      <c r="J40" s="14">
        <f>FR2_UC!J55</f>
        <v>2</v>
      </c>
      <c r="K40" s="15">
        <f>FR2_UC!D54</f>
        <v>0</v>
      </c>
      <c r="L40" s="12" t="s">
        <v>104</v>
      </c>
      <c r="M40" s="12" t="str">
        <f>FR2_UC!A53</f>
        <v>NDR RE</v>
      </c>
      <c r="N40" s="14" t="str">
        <f>FR2_UC!B53</f>
        <v>2.4.1</v>
      </c>
      <c r="O40" s="12" t="s">
        <v>105</v>
      </c>
      <c r="P40" s="12" t="str">
        <f t="shared" si="5"/>
        <v>2.4 NDR</v>
      </c>
    </row>
    <row r="41" spans="1:16" ht="116" x14ac:dyDescent="0.35">
      <c r="A41" s="12">
        <v>40</v>
      </c>
      <c r="B41" s="12" t="str">
        <f t="shared" si="4"/>
        <v>IEC 62443-4-2 - 2.5 CR</v>
      </c>
      <c r="C41" s="14">
        <f>FR2_UC!D58</f>
        <v>0</v>
      </c>
      <c r="D41" s="12" t="s">
        <v>102</v>
      </c>
      <c r="E41" s="14" t="str">
        <f t="shared" si="2"/>
        <v>FR 2 - Use Control (UC)</v>
      </c>
      <c r="F41" s="14" t="s">
        <v>126</v>
      </c>
      <c r="G41" s="12" t="str">
        <f t="shared" si="3"/>
        <v>n/a</v>
      </c>
      <c r="H41" s="14" t="str">
        <f>FR2_UC!C56</f>
        <v>Session lock</v>
      </c>
      <c r="I41" s="15" t="str">
        <f>FR2_UC!C57</f>
        <v>If a component provides a human user interface, whether accessed locally or via a network, the component shall provide the capability
a) to protect against further access by initiating a session lock after a configurable time period of inactivity or by manual initiation by the user (human, software process or device); and 
b) for the session lock to remain in effect until the human user who owns the session, or another authorized human user, re-establishes access using appropriate identification and authentication procedures.</v>
      </c>
      <c r="J41" s="14">
        <f>FR2_UC!J58</f>
        <v>1</v>
      </c>
      <c r="K41" s="15">
        <f>FR2_UC!D57</f>
        <v>0</v>
      </c>
      <c r="L41" s="12" t="s">
        <v>104</v>
      </c>
      <c r="M41" s="12" t="str">
        <f>FR2_UC!A56</f>
        <v>CR</v>
      </c>
      <c r="N41" s="14" t="str">
        <f>FR2_UC!B56</f>
        <v>2.5</v>
      </c>
      <c r="O41" s="12" t="s">
        <v>105</v>
      </c>
      <c r="P41" s="12" t="str">
        <f t="shared" si="5"/>
        <v>2.5 CR</v>
      </c>
    </row>
    <row r="42" spans="1:16" ht="58" x14ac:dyDescent="0.35">
      <c r="A42" s="12">
        <v>41</v>
      </c>
      <c r="B42" s="12" t="str">
        <f t="shared" si="4"/>
        <v>IEC 62443-4-2 - 2.6 CR</v>
      </c>
      <c r="C42" s="14">
        <f>FR2_UC!D61</f>
        <v>0</v>
      </c>
      <c r="D42" s="12" t="s">
        <v>102</v>
      </c>
      <c r="E42" s="14" t="str">
        <f t="shared" si="2"/>
        <v>FR 2 - Use Control (UC)</v>
      </c>
      <c r="F42" s="14" t="s">
        <v>127</v>
      </c>
      <c r="G42" s="12" t="str">
        <f t="shared" si="3"/>
        <v>n/a</v>
      </c>
      <c r="H42" s="14" t="str">
        <f>FR2_UC!C59</f>
        <v>Remote session termination</v>
      </c>
      <c r="I42" s="15" t="str">
        <f>FR2_UC!C60</f>
        <v>If a component supports remote sessions, the component shall provide the capability to terminate a remote session either automatically after a configurable time period of inactivity, manually by a local authority, or manually by the user (human, software process or device) who initiated the session.</v>
      </c>
      <c r="J42" s="14">
        <f>FR2_UC!J61</f>
        <v>2</v>
      </c>
      <c r="K42" s="15">
        <f>FR2_UC!D60</f>
        <v>0</v>
      </c>
      <c r="L42" s="12" t="s">
        <v>104</v>
      </c>
      <c r="M42" s="12" t="str">
        <f>FR2_UC!A59</f>
        <v>CR</v>
      </c>
      <c r="N42" s="14" t="str">
        <f>FR2_UC!B59</f>
        <v>2.6</v>
      </c>
      <c r="O42" s="12" t="s">
        <v>105</v>
      </c>
      <c r="P42" s="12" t="str">
        <f t="shared" si="5"/>
        <v>2.6 CR</v>
      </c>
    </row>
    <row r="43" spans="1:16" ht="29" x14ac:dyDescent="0.35">
      <c r="A43" s="12">
        <v>42</v>
      </c>
      <c r="B43" s="12" t="str">
        <f t="shared" si="4"/>
        <v>IEC 62443-4-2 - 2.7 CR</v>
      </c>
      <c r="C43" s="14">
        <f>FR2_UC!D64</f>
        <v>0</v>
      </c>
      <c r="D43" s="12" t="s">
        <v>102</v>
      </c>
      <c r="E43" s="14" t="str">
        <f t="shared" si="2"/>
        <v>FR 2 - Use Control (UC)</v>
      </c>
      <c r="F43" s="14" t="s">
        <v>128</v>
      </c>
      <c r="G43" s="12" t="str">
        <f t="shared" si="3"/>
        <v>n/a</v>
      </c>
      <c r="H43" s="14" t="str">
        <f>FR2_UC!C62</f>
        <v>Concurrent session control</v>
      </c>
      <c r="I43" s="15" t="str">
        <f>FR2_UC!C63</f>
        <v xml:space="preserve">Components shall provide the capability to limit the number of concurrent sessions per interface for any given user (human, software process or device). </v>
      </c>
      <c r="J43" s="14">
        <f>FR2_UC!J64</f>
        <v>3</v>
      </c>
      <c r="K43" s="15">
        <f>FR2_UC!D63</f>
        <v>0</v>
      </c>
      <c r="L43" s="12" t="s">
        <v>104</v>
      </c>
      <c r="M43" s="12" t="str">
        <f>FR2_UC!A62</f>
        <v>CR</v>
      </c>
      <c r="N43" s="14" t="str">
        <f>FR2_UC!B62</f>
        <v>2.7</v>
      </c>
      <c r="O43" s="12" t="s">
        <v>105</v>
      </c>
      <c r="P43" s="12" t="str">
        <f t="shared" si="5"/>
        <v>2.7 CR</v>
      </c>
    </row>
    <row r="44" spans="1:16" ht="217.5" x14ac:dyDescent="0.35">
      <c r="A44" s="12">
        <v>43</v>
      </c>
      <c r="B44" s="12" t="str">
        <f t="shared" si="4"/>
        <v>IEC 62443-4-2 - 2.8 CR</v>
      </c>
      <c r="C44" s="14">
        <f>FR2_UC!D67</f>
        <v>0</v>
      </c>
      <c r="D44" s="12" t="s">
        <v>102</v>
      </c>
      <c r="E44" s="14" t="str">
        <f t="shared" si="2"/>
        <v>FR 2 - Use Control (UC)</v>
      </c>
      <c r="F44" s="14" t="s">
        <v>129</v>
      </c>
      <c r="G44" s="12" t="str">
        <f t="shared" si="3"/>
        <v>n/a</v>
      </c>
      <c r="H44" s="14" t="str">
        <f>FR2_UC!C65</f>
        <v>Auditable events</v>
      </c>
      <c r="I44" s="15" t="str">
        <f>FR2_UC!C66</f>
        <v>Components shall provide the capability to generate audit records relevant to security for the following categories:
a) access control;
b) request errors;
c) control system events;
d) backup and restore event;
e) configuration changes; and
f) audit log events.
Individual audit records shall include:
a) timestamp;
b) source (originating device, software process or human user account);
c) category;
d) type;
e) event ID; and
f) event result.</v>
      </c>
      <c r="J44" s="14">
        <f>FR2_UC!J67</f>
        <v>1</v>
      </c>
      <c r="K44" s="15">
        <f>FR2_UC!D66</f>
        <v>0</v>
      </c>
      <c r="L44" s="12" t="s">
        <v>104</v>
      </c>
      <c r="M44" s="12" t="str">
        <f>FR2_UC!A65</f>
        <v>CR</v>
      </c>
      <c r="N44" s="14" t="str">
        <f>FR2_UC!B65</f>
        <v>2.8</v>
      </c>
      <c r="O44" s="12" t="s">
        <v>105</v>
      </c>
      <c r="P44" s="12" t="str">
        <f t="shared" si="5"/>
        <v>2.8 CR</v>
      </c>
    </row>
    <row r="45" spans="1:16" ht="72.5" x14ac:dyDescent="0.35">
      <c r="A45" s="12">
        <v>44</v>
      </c>
      <c r="B45" s="12" t="str">
        <f t="shared" si="4"/>
        <v>IEC 62443-4-2 - 2.9 CR</v>
      </c>
      <c r="C45" s="14">
        <f>FR2_UC!D70</f>
        <v>0</v>
      </c>
      <c r="D45" s="12" t="s">
        <v>102</v>
      </c>
      <c r="E45" s="14" t="str">
        <f t="shared" si="2"/>
        <v>FR 2 - Use Control (UC)</v>
      </c>
      <c r="F45" s="14" t="s">
        <v>130</v>
      </c>
      <c r="G45" s="12" t="str">
        <f t="shared" si="3"/>
        <v>n/a</v>
      </c>
      <c r="H45" s="14" t="str">
        <f>FR2_UC!C68</f>
        <v>Audit storage capacity</v>
      </c>
      <c r="I45" s="15" t="str">
        <f>FR2_UC!C69</f>
        <v>Components shall 
a) provide the capability to allocate audit record storage capacity according to commonly recognized recommendations for log management; and
b) provide mechanisms to protect against a failure of the component when it reaches or exceeds the audit storage capacity.</v>
      </c>
      <c r="J45" s="14">
        <f>FR2_UC!J70</f>
        <v>1</v>
      </c>
      <c r="K45" s="15">
        <f>FR2_UC!D69</f>
        <v>0</v>
      </c>
      <c r="L45" s="12" t="s">
        <v>104</v>
      </c>
      <c r="M45" s="12" t="str">
        <f>FR2_UC!A68</f>
        <v>CR</v>
      </c>
      <c r="N45" s="14" t="str">
        <f>FR2_UC!B68</f>
        <v>2.9</v>
      </c>
      <c r="O45" s="12" t="s">
        <v>105</v>
      </c>
      <c r="P45" s="12" t="str">
        <f t="shared" si="5"/>
        <v>2.9 CR</v>
      </c>
    </row>
    <row r="46" spans="1:16" ht="29" x14ac:dyDescent="0.35">
      <c r="A46" s="12">
        <v>45</v>
      </c>
      <c r="B46" s="12" t="str">
        <f t="shared" si="4"/>
        <v>IEC 62443-4-2 - 2.9.1 CR RE</v>
      </c>
      <c r="C46" s="14">
        <f>FR2_UC!D73</f>
        <v>0</v>
      </c>
      <c r="D46" s="12" t="s">
        <v>102</v>
      </c>
      <c r="E46" s="14" t="str">
        <f t="shared" si="2"/>
        <v>FR 2 - Use Control (UC)</v>
      </c>
      <c r="F46" s="14" t="s">
        <v>130</v>
      </c>
      <c r="G46" s="12" t="str">
        <f t="shared" si="3"/>
        <v>RE(1)</v>
      </c>
      <c r="H46" s="14" t="str">
        <f>FR2_UC!C71</f>
        <v>Warn when audit record storage capacity threshold reached</v>
      </c>
      <c r="I46" s="15" t="str">
        <f>FR2_UC!C72</f>
        <v>Components shall provide the capability to issue a warning when the allocated audit record storage reaches a configurable threshold.</v>
      </c>
      <c r="J46" s="14">
        <f>FR2_UC!J73</f>
        <v>3</v>
      </c>
      <c r="K46" s="15">
        <f>FR2_UC!D72</f>
        <v>0</v>
      </c>
      <c r="L46" s="12" t="s">
        <v>104</v>
      </c>
      <c r="M46" s="12" t="str">
        <f>FR2_UC!A71</f>
        <v>CR RE</v>
      </c>
      <c r="N46" s="14" t="str">
        <f>FR2_UC!B71</f>
        <v>2.9.1</v>
      </c>
      <c r="O46" s="12" t="s">
        <v>105</v>
      </c>
      <c r="P46" s="12" t="str">
        <f t="shared" si="5"/>
        <v>2.9 CR</v>
      </c>
    </row>
    <row r="47" spans="1:16" ht="87" x14ac:dyDescent="0.35">
      <c r="A47" s="12">
        <v>46</v>
      </c>
      <c r="B47" s="12" t="str">
        <f t="shared" si="4"/>
        <v>IEC 62443-4-2 - 2.10 CR</v>
      </c>
      <c r="C47" s="14">
        <f>FR2_UC!D76</f>
        <v>0</v>
      </c>
      <c r="D47" s="12" t="s">
        <v>102</v>
      </c>
      <c r="E47" s="14" t="str">
        <f t="shared" si="2"/>
        <v>FR 2 - Use Control (UC)</v>
      </c>
      <c r="F47" s="14" t="s">
        <v>131</v>
      </c>
      <c r="G47" s="12" t="str">
        <f t="shared" si="3"/>
        <v>n/a</v>
      </c>
      <c r="H47" s="14" t="str">
        <f>FR2_UC!C74</f>
        <v>Response to audit processing failures</v>
      </c>
      <c r="I47" s="15" t="str">
        <f>FR2_UC!C75</f>
        <v>Components shall 
a) provide the capability to protect against the loss of essential services and functions in the event of an audit processing failure; and
b) provide the capability to support appropriate actions in response to an audit processing failure according to commonly accepted industry practices and recommendations.</v>
      </c>
      <c r="J47" s="14">
        <f>FR2_UC!J76</f>
        <v>1</v>
      </c>
      <c r="K47" s="15">
        <f>FR2_UC!D75</f>
        <v>0</v>
      </c>
      <c r="L47" s="12" t="s">
        <v>104</v>
      </c>
      <c r="M47" s="12" t="str">
        <f>FR2_UC!A74</f>
        <v>CR</v>
      </c>
      <c r="N47" s="14" t="str">
        <f>FR2_UC!B74</f>
        <v>2.10</v>
      </c>
      <c r="O47" s="12" t="s">
        <v>105</v>
      </c>
      <c r="P47" s="12" t="str">
        <f t="shared" si="5"/>
        <v>2.10 CR</v>
      </c>
    </row>
    <row r="48" spans="1:16" ht="29" x14ac:dyDescent="0.35">
      <c r="A48" s="12">
        <v>47</v>
      </c>
      <c r="B48" s="12" t="str">
        <f t="shared" si="4"/>
        <v>IEC 62443-4-2 - 2.11 CR</v>
      </c>
      <c r="C48" s="14">
        <f>FR2_UC!D79</f>
        <v>0</v>
      </c>
      <c r="D48" s="12" t="s">
        <v>102</v>
      </c>
      <c r="E48" s="14" t="str">
        <f t="shared" si="2"/>
        <v>FR 2 - Use Control (UC)</v>
      </c>
      <c r="F48" s="14" t="s">
        <v>132</v>
      </c>
      <c r="G48" s="12" t="str">
        <f t="shared" si="3"/>
        <v>n/a</v>
      </c>
      <c r="H48" s="14" t="str">
        <f>FR2_UC!C77</f>
        <v>Timestamps</v>
      </c>
      <c r="I48" s="15" t="str">
        <f>FR2_UC!C78</f>
        <v>Components shall provide the capability to create timestamps (including date and time) for use in audit records.</v>
      </c>
      <c r="J48" s="14">
        <f>FR2_UC!J79</f>
        <v>1</v>
      </c>
      <c r="K48" s="15">
        <f>FR2_UC!D78</f>
        <v>0</v>
      </c>
      <c r="L48" s="12" t="s">
        <v>104</v>
      </c>
      <c r="M48" s="12" t="str">
        <f>FR2_UC!A77</f>
        <v>CR</v>
      </c>
      <c r="N48" s="14" t="str">
        <f>FR2_UC!B77</f>
        <v>2.11</v>
      </c>
      <c r="O48" s="12" t="s">
        <v>105</v>
      </c>
      <c r="P48" s="12" t="str">
        <f t="shared" si="5"/>
        <v>2.11 CR</v>
      </c>
    </row>
    <row r="49" spans="1:16" ht="29" x14ac:dyDescent="0.35">
      <c r="A49" s="12">
        <v>48</v>
      </c>
      <c r="B49" s="12" t="str">
        <f t="shared" si="4"/>
        <v>IEC 62443-4-2 - 2.11.1 CR RE</v>
      </c>
      <c r="C49" s="14">
        <f>FR2_UC!D82</f>
        <v>0</v>
      </c>
      <c r="D49" s="12" t="s">
        <v>102</v>
      </c>
      <c r="E49" s="14" t="str">
        <f t="shared" si="2"/>
        <v>FR 2 - Use Control (UC)</v>
      </c>
      <c r="F49" s="14" t="s">
        <v>132</v>
      </c>
      <c r="G49" s="12" t="str">
        <f t="shared" si="3"/>
        <v>RE(1)</v>
      </c>
      <c r="H49" s="14" t="str">
        <f>FR2_UC!C80</f>
        <v>Time synchronization</v>
      </c>
      <c r="I49" s="15" t="str">
        <f>FR2_UC!C81</f>
        <v>Components shall provide the capability to create timestamps that are synchronized with a system wide time source.</v>
      </c>
      <c r="J49" s="14">
        <f>FR2_UC!J82</f>
        <v>2</v>
      </c>
      <c r="K49" s="15">
        <f>FR2_UC!D81</f>
        <v>0</v>
      </c>
      <c r="L49" s="12" t="s">
        <v>104</v>
      </c>
      <c r="M49" s="12" t="str">
        <f>FR2_UC!A80</f>
        <v>CR RE</v>
      </c>
      <c r="N49" s="14" t="str">
        <f>FR2_UC!B80</f>
        <v>2.11.1</v>
      </c>
      <c r="O49" s="12" t="s">
        <v>105</v>
      </c>
      <c r="P49" s="12" t="str">
        <f t="shared" si="5"/>
        <v>2.11 CR</v>
      </c>
    </row>
    <row r="50" spans="1:16" ht="29" x14ac:dyDescent="0.35">
      <c r="A50" s="12">
        <v>49</v>
      </c>
      <c r="B50" s="12" t="str">
        <f t="shared" si="4"/>
        <v>IEC 62443-4-2 - 2.11.2 CR RE</v>
      </c>
      <c r="C50" s="14">
        <f>FR2_UC!D85</f>
        <v>0</v>
      </c>
      <c r="D50" s="12" t="s">
        <v>102</v>
      </c>
      <c r="E50" s="14" t="str">
        <f t="shared" si="2"/>
        <v>FR 2 - Use Control (UC)</v>
      </c>
      <c r="F50" s="14" t="s">
        <v>132</v>
      </c>
      <c r="G50" s="12" t="str">
        <f t="shared" si="3"/>
        <v>RE(2)</v>
      </c>
      <c r="H50" s="14" t="str">
        <f>FR2_UC!C83</f>
        <v>Protection of time source integrity</v>
      </c>
      <c r="I50" s="15" t="str">
        <f>FR2_UC!C84</f>
        <v>The time synchronization mechanism shall provide the capability to detect unauthorized alteration and cause an audit event upon alteration.</v>
      </c>
      <c r="J50" s="14">
        <f>FR2_UC!J85</f>
        <v>4</v>
      </c>
      <c r="K50" s="15">
        <f>FR2_UC!D84</f>
        <v>0</v>
      </c>
      <c r="L50" s="12" t="s">
        <v>104</v>
      </c>
      <c r="M50" s="12" t="str">
        <f>FR2_UC!A83</f>
        <v>CR RE</v>
      </c>
      <c r="N50" s="14" t="str">
        <f>FR2_UC!B83</f>
        <v>2.11.2</v>
      </c>
      <c r="O50" s="12" t="s">
        <v>105</v>
      </c>
      <c r="P50" s="12" t="str">
        <f t="shared" si="5"/>
        <v>2.11 CR</v>
      </c>
    </row>
    <row r="51" spans="1:16" ht="58" x14ac:dyDescent="0.35">
      <c r="A51" s="12">
        <v>50</v>
      </c>
      <c r="B51" s="12" t="str">
        <f t="shared" si="4"/>
        <v>IEC 62443-4-2 - 2.12 CR</v>
      </c>
      <c r="C51" s="14">
        <f>FR2_UC!D88</f>
        <v>0</v>
      </c>
      <c r="D51" s="12" t="s">
        <v>102</v>
      </c>
      <c r="E51" s="14" t="str">
        <f t="shared" si="2"/>
        <v>FR 2 - Use Control (UC)</v>
      </c>
      <c r="F51" s="14" t="s">
        <v>133</v>
      </c>
      <c r="G51" s="12" t="str">
        <f t="shared" si="3"/>
        <v>n/a</v>
      </c>
      <c r="H51" s="14" t="str">
        <f>FR2_UC!C86</f>
        <v>Non-repudiation</v>
      </c>
      <c r="I51" s="15" t="str">
        <f>FR2_UC!C87</f>
        <v>If a component provides a human user interface, the component shall provide the capability to determine whether a given human user took a particular action.
Control elements that are not able to support such capability shall be listed in component documents.</v>
      </c>
      <c r="J51" s="14">
        <f>FR2_UC!J88</f>
        <v>1</v>
      </c>
      <c r="K51" s="15">
        <f>FR2_UC!D87</f>
        <v>0</v>
      </c>
      <c r="L51" s="12" t="s">
        <v>104</v>
      </c>
      <c r="M51" s="12" t="str">
        <f>FR2_UC!A86</f>
        <v>CR</v>
      </c>
      <c r="N51" s="14" t="str">
        <f>FR2_UC!B86</f>
        <v>2.12</v>
      </c>
      <c r="O51" s="12" t="s">
        <v>105</v>
      </c>
      <c r="P51" s="12" t="str">
        <f t="shared" si="5"/>
        <v>2.12 CR</v>
      </c>
    </row>
    <row r="52" spans="1:16" ht="29" x14ac:dyDescent="0.35">
      <c r="A52" s="12">
        <v>51</v>
      </c>
      <c r="B52" s="12" t="str">
        <f t="shared" si="4"/>
        <v>IEC 62443-4-2 - 2.12.1 CR RE</v>
      </c>
      <c r="C52" s="14">
        <f>FR2_UC!D91</f>
        <v>0</v>
      </c>
      <c r="D52" s="12" t="s">
        <v>102</v>
      </c>
      <c r="E52" s="14" t="str">
        <f t="shared" si="2"/>
        <v>FR 2 - Use Control (UC)</v>
      </c>
      <c r="F52" s="14" t="s">
        <v>133</v>
      </c>
      <c r="G52" s="12" t="str">
        <f t="shared" si="3"/>
        <v>RE(1)</v>
      </c>
      <c r="H52" s="14" t="str">
        <f>FR2_UC!C89</f>
        <v>Non-repudiation for all users</v>
      </c>
      <c r="I52" s="15" t="str">
        <f>FR2_UC!C90</f>
        <v>Components shall provide the capability to determine whether a given user (human, software process or device) took a particular action.</v>
      </c>
      <c r="J52" s="14">
        <f>FR2_UC!J91</f>
        <v>4</v>
      </c>
      <c r="K52" s="15">
        <f>FR2_UC!D90</f>
        <v>0</v>
      </c>
      <c r="L52" s="12" t="s">
        <v>104</v>
      </c>
      <c r="M52" s="12" t="str">
        <f>FR2_UC!A89</f>
        <v>CR RE</v>
      </c>
      <c r="N52" s="14" t="str">
        <f>FR2_UC!B89</f>
        <v>2.12.1</v>
      </c>
      <c r="O52" s="12" t="s">
        <v>105</v>
      </c>
      <c r="P52" s="12" t="str">
        <f t="shared" si="5"/>
        <v>2.12 CR</v>
      </c>
    </row>
    <row r="53" spans="1:16" ht="188.5" x14ac:dyDescent="0.35">
      <c r="A53" s="12">
        <v>52</v>
      </c>
      <c r="B53" s="12" t="str">
        <f t="shared" si="4"/>
        <v>IEC 62443-4-2 - 2.13 EDR</v>
      </c>
      <c r="C53" s="14" t="str">
        <f>FR2_UC!D94</f>
        <v>Supported</v>
      </c>
      <c r="D53" s="12" t="s">
        <v>102</v>
      </c>
      <c r="E53" s="14" t="str">
        <f t="shared" si="2"/>
        <v>FR 2 - Use Control (UC)</v>
      </c>
      <c r="F53" s="14" t="s">
        <v>134</v>
      </c>
      <c r="G53" s="12" t="str">
        <f t="shared" si="3"/>
        <v>n/a</v>
      </c>
      <c r="H53" s="14" t="str">
        <f>FR2_UC!C92</f>
        <v>Use of physical diagnostic and test interfaces</v>
      </c>
      <c r="I53" s="15" t="str">
        <f>FR2_UC!C93</f>
        <v>Embedded devices shall prevent unauthorized use of the physical factory diagnostic and test interface(s) (e.g. JTAG Debugging).</v>
      </c>
      <c r="J53" s="14">
        <f>FR2_UC!J94</f>
        <v>2</v>
      </c>
      <c r="K53" s="15" t="str">
        <f>FR2_UC!D93</f>
        <v>MCSR 1.0 is more strict as to not allow debugging interfaces at all, also software debugging symbols are included in MCSR 1.0</v>
      </c>
      <c r="L53" s="12" t="s">
        <v>104</v>
      </c>
      <c r="M53" s="12" t="str">
        <f>FR2_UC!A92</f>
        <v>EDR</v>
      </c>
      <c r="N53" s="14" t="str">
        <f>FR2_UC!B92</f>
        <v>2.13</v>
      </c>
      <c r="O53" s="12" t="s">
        <v>105</v>
      </c>
      <c r="P53" s="12" t="str">
        <f t="shared" si="5"/>
        <v>2.13 EDR</v>
      </c>
    </row>
    <row r="54" spans="1:16" ht="43.5" x14ac:dyDescent="0.35">
      <c r="A54" s="12">
        <v>53</v>
      </c>
      <c r="B54" s="12" t="str">
        <f t="shared" si="4"/>
        <v>IEC 62443-4-2 - 2.13.1 EDR RE</v>
      </c>
      <c r="C54" s="14">
        <f>FR2_UC!D97</f>
        <v>0</v>
      </c>
      <c r="D54" s="12" t="s">
        <v>102</v>
      </c>
      <c r="E54" s="14" t="str">
        <f t="shared" si="2"/>
        <v>FR 2 - Use Control (UC)</v>
      </c>
      <c r="F54" s="14" t="s">
        <v>134</v>
      </c>
      <c r="G54" s="12" t="str">
        <f t="shared" si="3"/>
        <v>RE(1)</v>
      </c>
      <c r="H54" s="14" t="str">
        <f>FR2_UC!C95</f>
        <v>Active monitoring</v>
      </c>
      <c r="I54" s="15" t="str">
        <f>FR2_UC!C96</f>
        <v>Embedded devices shall provide active monitoring of the device’s diagnostic and test interface(s) and generate a log entry when attempts to access these interface(s) are detected.</v>
      </c>
      <c r="J54" s="14">
        <f>FR2_UC!J97</f>
        <v>3</v>
      </c>
      <c r="K54" s="15">
        <f>FR2_UC!D96</f>
        <v>0</v>
      </c>
      <c r="L54" s="12" t="s">
        <v>104</v>
      </c>
      <c r="M54" s="12" t="str">
        <f>FR2_UC!A95</f>
        <v>EDR RE</v>
      </c>
      <c r="N54" s="14" t="str">
        <f>FR2_UC!B95</f>
        <v>2.13.1</v>
      </c>
      <c r="O54" s="12" t="s">
        <v>105</v>
      </c>
      <c r="P54" s="12" t="str">
        <f t="shared" si="5"/>
        <v>2.13 EDR</v>
      </c>
    </row>
    <row r="55" spans="1:16" ht="188.5" x14ac:dyDescent="0.35">
      <c r="A55" s="12">
        <v>54</v>
      </c>
      <c r="B55" s="12" t="str">
        <f t="shared" si="4"/>
        <v>IEC 62443-4-2 - 2.13 HDR</v>
      </c>
      <c r="C55" s="14">
        <f>FR2_UC!D100</f>
        <v>0</v>
      </c>
      <c r="D55" s="12" t="s">
        <v>102</v>
      </c>
      <c r="E55" s="14" t="str">
        <f t="shared" si="2"/>
        <v>FR 2 - Use Control (UC)</v>
      </c>
      <c r="F55" s="14" t="s">
        <v>135</v>
      </c>
      <c r="G55" s="12" t="str">
        <f t="shared" si="3"/>
        <v>n/a</v>
      </c>
      <c r="H55" s="14" t="str">
        <f>FR2_UC!C98</f>
        <v>Use of physical diagnostic and test interfaces</v>
      </c>
      <c r="I55" s="15" t="str">
        <f>FR2_UC!C99</f>
        <v>Host devices shall prevent unauthorized use of the physical factory diagnostic and test interface(s) (e.g. JTAG debugging).</v>
      </c>
      <c r="J55" s="14">
        <f>FR2_UC!J100</f>
        <v>2</v>
      </c>
      <c r="K55" s="15" t="str">
        <f>FR2_UC!D99</f>
        <v>MCSR 1.0 is more strict as to not allow debugging interfaces at all, also software debugging symbols are included in MCSR 1.0</v>
      </c>
      <c r="L55" s="12" t="s">
        <v>104</v>
      </c>
      <c r="M55" s="12" t="str">
        <f>FR2_UC!A98</f>
        <v>HDR</v>
      </c>
      <c r="N55" s="14" t="str">
        <f>FR2_UC!B98</f>
        <v>2.13</v>
      </c>
      <c r="O55" s="12" t="s">
        <v>105</v>
      </c>
      <c r="P55" s="12" t="str">
        <f t="shared" si="5"/>
        <v>2.13 HDR</v>
      </c>
    </row>
    <row r="56" spans="1:16" ht="43.5" x14ac:dyDescent="0.35">
      <c r="A56" s="12">
        <v>55</v>
      </c>
      <c r="B56" s="12" t="str">
        <f t="shared" si="4"/>
        <v>IEC 62443-4-2 - 2.13.1 HDR RE</v>
      </c>
      <c r="C56" s="14">
        <f>FR2_UC!D103</f>
        <v>0</v>
      </c>
      <c r="D56" s="12" t="s">
        <v>102</v>
      </c>
      <c r="E56" s="14" t="str">
        <f t="shared" si="2"/>
        <v>FR 2 - Use Control (UC)</v>
      </c>
      <c r="F56" s="14" t="s">
        <v>135</v>
      </c>
      <c r="G56" s="12" t="str">
        <f t="shared" si="3"/>
        <v>RE(1)</v>
      </c>
      <c r="H56" s="14" t="str">
        <f>FR2_UC!C101</f>
        <v>Active monitoring</v>
      </c>
      <c r="I56" s="15" t="str">
        <f>FR2_UC!C102</f>
        <v>Host devices shall provide active monitoring of the device’s diagnostic and test interface(s) and generate a log entry when attempts to access these interface(s) are detected.</v>
      </c>
      <c r="J56" s="14">
        <f>FR2_UC!J103</f>
        <v>3</v>
      </c>
      <c r="K56" s="15">
        <f>FR2_UC!D102</f>
        <v>0</v>
      </c>
      <c r="L56" s="12" t="s">
        <v>104</v>
      </c>
      <c r="M56" s="12" t="str">
        <f>FR2_UC!A101</f>
        <v>HDR RE</v>
      </c>
      <c r="N56" s="14" t="str">
        <f>FR2_UC!B101</f>
        <v>2.13.1</v>
      </c>
      <c r="O56" s="12" t="s">
        <v>105</v>
      </c>
      <c r="P56" s="12" t="str">
        <f t="shared" si="5"/>
        <v>2.13 HDR</v>
      </c>
    </row>
    <row r="57" spans="1:16" ht="188.5" x14ac:dyDescent="0.35">
      <c r="A57" s="12">
        <v>56</v>
      </c>
      <c r="B57" s="12" t="str">
        <f t="shared" si="4"/>
        <v>IEC 62443-4-2 - 2.13 NDR</v>
      </c>
      <c r="C57" s="14">
        <f>FR2_UC!D106</f>
        <v>0</v>
      </c>
      <c r="D57" s="12" t="s">
        <v>102</v>
      </c>
      <c r="E57" s="14" t="str">
        <f t="shared" si="2"/>
        <v>FR 2 - Use Control (UC)</v>
      </c>
      <c r="F57" s="14" t="s">
        <v>136</v>
      </c>
      <c r="G57" s="12" t="str">
        <f t="shared" si="3"/>
        <v>n/a</v>
      </c>
      <c r="H57" s="14" t="str">
        <f>FR2_UC!C104</f>
        <v>Use of physical diagnostic and test interfaces</v>
      </c>
      <c r="I57" s="15" t="str">
        <f>FR2_UC!C105</f>
        <v>Network devices shall prevent unauthorized use of the physical factory diagnostic and test interface(s) (e.g. JTAG debugging).</v>
      </c>
      <c r="J57" s="14">
        <f>FR2_UC!J106</f>
        <v>2</v>
      </c>
      <c r="K57" s="15" t="str">
        <f>FR2_UC!D105</f>
        <v>MCSR 1.0 is more strict as to not allow debugging interfaces at all, also software debugging symbols are included in MCSR 1.0</v>
      </c>
      <c r="L57" s="12" t="s">
        <v>104</v>
      </c>
      <c r="M57" s="12" t="str">
        <f>FR2_UC!A104</f>
        <v>NDR</v>
      </c>
      <c r="N57" s="14" t="str">
        <f>FR2_UC!B104</f>
        <v>2.13</v>
      </c>
      <c r="O57" s="12" t="s">
        <v>105</v>
      </c>
      <c r="P57" s="12" t="str">
        <f t="shared" si="5"/>
        <v>2.13 NDR</v>
      </c>
    </row>
    <row r="58" spans="1:16" ht="43.5" x14ac:dyDescent="0.35">
      <c r="A58" s="12">
        <v>57</v>
      </c>
      <c r="B58" s="12" t="str">
        <f t="shared" si="4"/>
        <v>IEC 62443-4-2 - 2.13.1 NDR RE</v>
      </c>
      <c r="C58" s="14">
        <f>FR2_UC!D109</f>
        <v>0</v>
      </c>
      <c r="D58" s="12" t="s">
        <v>102</v>
      </c>
      <c r="E58" s="14" t="str">
        <f t="shared" si="2"/>
        <v>FR 2 - Use Control (UC)</v>
      </c>
      <c r="F58" s="14" t="s">
        <v>136</v>
      </c>
      <c r="G58" s="12" t="str">
        <f t="shared" si="3"/>
        <v>RE(1)</v>
      </c>
      <c r="H58" s="14" t="str">
        <f>FR2_UC!C107</f>
        <v>Active monitoring</v>
      </c>
      <c r="I58" s="15" t="str">
        <f>FR2_UC!C108</f>
        <v>Network devices shall provide active monitoring of the device’s diagnostic and test interface(s) and generate a log entry when attempts to access these interface(s) are detected.</v>
      </c>
      <c r="J58" s="14">
        <f>FR2_UC!J109</f>
        <v>3</v>
      </c>
      <c r="K58" s="15">
        <f>FR2_UC!D108</f>
        <v>0</v>
      </c>
      <c r="L58" s="12" t="s">
        <v>104</v>
      </c>
      <c r="M58" s="12" t="str">
        <f>FR2_UC!A107</f>
        <v>NDR RE</v>
      </c>
      <c r="N58" s="14" t="str">
        <f>FR2_UC!B107</f>
        <v>2.13.1</v>
      </c>
      <c r="O58" s="12" t="s">
        <v>105</v>
      </c>
      <c r="P58" s="12" t="str">
        <f t="shared" si="5"/>
        <v>2.13 NDR</v>
      </c>
    </row>
    <row r="59" spans="1:16" ht="29" x14ac:dyDescent="0.35">
      <c r="A59" s="12">
        <v>58</v>
      </c>
      <c r="B59" s="12" t="str">
        <f t="shared" si="4"/>
        <v>IEC 62443-4-2 - 3.1 CR</v>
      </c>
      <c r="C59" s="14" t="str">
        <f>FR3_SI!D11</f>
        <v>Supported</v>
      </c>
      <c r="D59" s="12" t="s">
        <v>102</v>
      </c>
      <c r="E59" s="14" t="str">
        <f>FR3_SI!A$7</f>
        <v>FR 3 - System integrity (SI)</v>
      </c>
      <c r="F59" s="14" t="s">
        <v>137</v>
      </c>
      <c r="G59" s="12" t="str">
        <f t="shared" si="3"/>
        <v>n/a</v>
      </c>
      <c r="H59" s="14" t="str">
        <f>FR3_SI!C9</f>
        <v>Communication integrity</v>
      </c>
      <c r="I59" s="15" t="str">
        <f>FR3_SI!C10</f>
        <v>Components shall provide the capability to protect integrity of transmitted information.</v>
      </c>
      <c r="J59" s="14">
        <f>FR3_SI!J11</f>
        <v>1</v>
      </c>
      <c r="K59" s="15">
        <f>FR3_SI!D10</f>
        <v>0</v>
      </c>
      <c r="L59" s="12" t="s">
        <v>104</v>
      </c>
      <c r="M59" s="12" t="str">
        <f>FR3_SI!A9</f>
        <v>CR</v>
      </c>
      <c r="N59" s="14" t="str">
        <f>FR3_SI!B9</f>
        <v>3.1</v>
      </c>
      <c r="O59" s="12" t="s">
        <v>105</v>
      </c>
      <c r="P59" s="12" t="str">
        <f t="shared" si="5"/>
        <v>3.1 CR</v>
      </c>
    </row>
    <row r="60" spans="1:16" ht="188.5" x14ac:dyDescent="0.35">
      <c r="A60" s="12">
        <v>59</v>
      </c>
      <c r="B60" s="12" t="str">
        <f t="shared" si="4"/>
        <v>IEC 62443-4-2 - 3.1.1 CR RE</v>
      </c>
      <c r="C60" s="14">
        <f>FR3_SI!D14</f>
        <v>0</v>
      </c>
      <c r="D60" s="12" t="s">
        <v>102</v>
      </c>
      <c r="E60" s="14" t="str">
        <f t="shared" si="2"/>
        <v>FR 3 - System integrity (SI)</v>
      </c>
      <c r="F60" s="14" t="s">
        <v>137</v>
      </c>
      <c r="G60" s="12" t="str">
        <f t="shared" si="3"/>
        <v>RE(1)</v>
      </c>
      <c r="H60" s="14" t="str">
        <f>FR3_SI!C12</f>
        <v>Communication authentication</v>
      </c>
      <c r="I60" s="15" t="str">
        <f>FR3_SI!C13</f>
        <v>Components shall provide the capability to verify authenticity of received information during communication.
NOTE:  Both integrity protection and authentication of origin can be achieved without providing confidentiality protection.</v>
      </c>
      <c r="J60" s="14">
        <f>FR3_SI!J14</f>
        <v>2</v>
      </c>
      <c r="K60" s="15" t="str">
        <f>FR3_SI!D13</f>
        <v>MP-15 talks about "secure protocols" which we usually interpret as at least providing integrity and authenticity.</v>
      </c>
      <c r="L60" s="12" t="s">
        <v>104</v>
      </c>
      <c r="M60" s="12" t="str">
        <f>FR3_SI!A12</f>
        <v>CR RE</v>
      </c>
      <c r="N60" s="14" t="str">
        <f>FR3_SI!B12</f>
        <v>3.1.1</v>
      </c>
      <c r="O60" s="12" t="s">
        <v>105</v>
      </c>
      <c r="P60" s="12" t="str">
        <f t="shared" si="5"/>
        <v>3.1 CR</v>
      </c>
    </row>
    <row r="61" spans="1:16" ht="43.5" x14ac:dyDescent="0.35">
      <c r="A61" s="12">
        <v>60</v>
      </c>
      <c r="B61" s="12" t="str">
        <f t="shared" si="4"/>
        <v>IEC 62443-4-2 - 3.2 SAR</v>
      </c>
      <c r="C61" s="14">
        <f>FR3_SI!D17</f>
        <v>0</v>
      </c>
      <c r="D61" s="12" t="s">
        <v>102</v>
      </c>
      <c r="E61" s="14" t="str">
        <f t="shared" si="2"/>
        <v>FR 3 - System integrity (SI)</v>
      </c>
      <c r="F61" s="14" t="s">
        <v>138</v>
      </c>
      <c r="G61" s="12" t="str">
        <f t="shared" si="3"/>
        <v>n/a</v>
      </c>
      <c r="H61" s="14" t="str">
        <f>FR3_SI!C15</f>
        <v>Protection from malicious code</v>
      </c>
      <c r="I61" s="15" t="str">
        <f>FR3_SI!C16</f>
        <v>The application product supplier shall qualify and document which protection from malicious code mechanisms are compatible with the application and note any special configuration requirements.</v>
      </c>
      <c r="J61" s="14">
        <f>FR3_SI!J17</f>
        <v>1</v>
      </c>
      <c r="K61" s="15">
        <f>FR3_SI!D16</f>
        <v>0</v>
      </c>
      <c r="L61" s="12" t="s">
        <v>104</v>
      </c>
      <c r="M61" s="12" t="str">
        <f>FR3_SI!A15</f>
        <v>SAR</v>
      </c>
      <c r="N61" s="14" t="str">
        <f>FR3_SI!B15</f>
        <v>3.2</v>
      </c>
      <c r="O61" s="12" t="s">
        <v>105</v>
      </c>
      <c r="P61" s="12" t="str">
        <f t="shared" si="5"/>
        <v>3.2 SAR</v>
      </c>
    </row>
    <row r="62" spans="1:16" ht="217.5" x14ac:dyDescent="0.35">
      <c r="A62" s="12">
        <v>61</v>
      </c>
      <c r="B62" s="12" t="str">
        <f t="shared" si="4"/>
        <v>IEC 62443-4-2 - 3.2  EDR</v>
      </c>
      <c r="C62" s="14" t="str">
        <f>FR3_SI!D20</f>
        <v>Supported with some restrictions/partly needs clarifications</v>
      </c>
      <c r="D62" s="12" t="s">
        <v>102</v>
      </c>
      <c r="E62" s="14" t="str">
        <f t="shared" si="2"/>
        <v>FR 3 - System integrity (SI)</v>
      </c>
      <c r="F62" s="14" t="s">
        <v>139</v>
      </c>
      <c r="G62" s="12" t="str">
        <f t="shared" si="3"/>
        <v>n/a</v>
      </c>
      <c r="H62" s="14" t="str">
        <f>FR3_SI!C18</f>
        <v>Protection from malicious code</v>
      </c>
      <c r="I62" s="15" t="str">
        <f>FR3_SI!C19</f>
        <v>The embedded device shall provide the capability to protect from installation and execution of unauthorized software.</v>
      </c>
      <c r="J62" s="14">
        <f>FR3_SI!J20</f>
        <v>1</v>
      </c>
      <c r="K62" s="15" t="str">
        <f>FR3_SI!D19</f>
        <v>MCSR for products just require scanning of SW packages
Malware scanning is different from authorization of software to be executed!</v>
      </c>
      <c r="L62" s="12" t="s">
        <v>104</v>
      </c>
      <c r="M62" s="12" t="str">
        <f>FR3_SI!A18</f>
        <v>EDR</v>
      </c>
      <c r="N62" s="14" t="str">
        <f>FR3_SI!B18</f>
        <v xml:space="preserve">3.2 </v>
      </c>
      <c r="O62" s="12" t="s">
        <v>105</v>
      </c>
      <c r="P62" s="12" t="str">
        <f t="shared" si="5"/>
        <v>3.2  EDR</v>
      </c>
    </row>
    <row r="63" spans="1:16" ht="58" x14ac:dyDescent="0.35">
      <c r="A63" s="12">
        <v>62</v>
      </c>
      <c r="B63" s="12" t="str">
        <f t="shared" si="4"/>
        <v>IEC 62443-4-2 - 3.2 HDR</v>
      </c>
      <c r="C63" s="14">
        <f>FR3_SI!D23</f>
        <v>0</v>
      </c>
      <c r="D63" s="12" t="s">
        <v>102</v>
      </c>
      <c r="E63" s="14" t="str">
        <f t="shared" si="2"/>
        <v>FR 3 - System integrity (SI)</v>
      </c>
      <c r="F63" s="14" t="s">
        <v>140</v>
      </c>
      <c r="G63" s="12" t="str">
        <f t="shared" si="3"/>
        <v>n/a</v>
      </c>
      <c r="H63" s="14" t="str">
        <f>FR3_SI!C21</f>
        <v>Protection from malicious code</v>
      </c>
      <c r="I63" s="15" t="str">
        <f>FR3_SI!C22</f>
        <v>There shall be mechanisms on host devices that are qualified by the IACS product supplier to provide protection from malicious code. The IACS product supplier shall document any special configuration requirements related to protection from malicious code.</v>
      </c>
      <c r="J63" s="14">
        <f>FR3_SI!J23</f>
        <v>1</v>
      </c>
      <c r="K63" s="15">
        <f>FR3_SI!D22</f>
        <v>0</v>
      </c>
      <c r="L63" s="12" t="s">
        <v>104</v>
      </c>
      <c r="M63" s="12" t="str">
        <f>FR3_SI!A21</f>
        <v>HDR</v>
      </c>
      <c r="N63" s="14" t="str">
        <f>FR3_SI!B21</f>
        <v>3.2</v>
      </c>
      <c r="O63" s="12" t="s">
        <v>105</v>
      </c>
      <c r="P63" s="12" t="str">
        <f t="shared" si="5"/>
        <v>3.2 HDR</v>
      </c>
    </row>
    <row r="64" spans="1:16" ht="29" x14ac:dyDescent="0.35">
      <c r="A64" s="12">
        <v>63</v>
      </c>
      <c r="B64" s="12" t="str">
        <f t="shared" si="4"/>
        <v>IEC 62443-4-2 - 3.2.1 HDR RE</v>
      </c>
      <c r="C64" s="14">
        <f>FR3_SI!D26</f>
        <v>0</v>
      </c>
      <c r="D64" s="12" t="s">
        <v>102</v>
      </c>
      <c r="E64" s="14" t="str">
        <f t="shared" si="2"/>
        <v>FR 3 - System integrity (SI)</v>
      </c>
      <c r="F64" s="14" t="s">
        <v>140</v>
      </c>
      <c r="G64" s="12" t="str">
        <f t="shared" si="3"/>
        <v>RE(1)</v>
      </c>
      <c r="H64" s="14" t="str">
        <f>FR3_SI!C24</f>
        <v>Report version of code protection</v>
      </c>
      <c r="I64" s="15" t="str">
        <f>FR3_SI!C25</f>
        <v>The host device shall automatically report the software and file versions of protection from malicious code in use (as part of overall logging function).</v>
      </c>
      <c r="J64" s="14">
        <f>FR3_SI!J26</f>
        <v>2</v>
      </c>
      <c r="K64" s="15">
        <f>FR3_SI!D25</f>
        <v>0</v>
      </c>
      <c r="L64" s="12" t="s">
        <v>104</v>
      </c>
      <c r="M64" s="12" t="str">
        <f>FR3_SI!A24</f>
        <v>HDR RE</v>
      </c>
      <c r="N64" s="14" t="str">
        <f>FR3_SI!B24</f>
        <v>3.2.1</v>
      </c>
      <c r="O64" s="12" t="s">
        <v>105</v>
      </c>
      <c r="P64" s="12" t="str">
        <f t="shared" si="5"/>
        <v>3.2 HDR</v>
      </c>
    </row>
    <row r="65" spans="1:16" x14ac:dyDescent="0.35">
      <c r="A65" s="12">
        <v>64</v>
      </c>
      <c r="B65" s="12" t="str">
        <f t="shared" si="4"/>
        <v>IEC 62443-4-2 - 3.2 NDR</v>
      </c>
      <c r="C65" s="14">
        <f>FR3_SI!D29</f>
        <v>0</v>
      </c>
      <c r="D65" s="12" t="s">
        <v>102</v>
      </c>
      <c r="E65" s="14" t="str">
        <f t="shared" si="2"/>
        <v>FR 3 - System integrity (SI)</v>
      </c>
      <c r="F65" s="14" t="s">
        <v>141</v>
      </c>
      <c r="G65" s="12" t="str">
        <f t="shared" si="3"/>
        <v>n/a</v>
      </c>
      <c r="H65" s="14" t="str">
        <f>FR3_SI!C27</f>
        <v>Protection from malicious code</v>
      </c>
      <c r="I65" s="15" t="str">
        <f>FR3_SI!C28</f>
        <v>The network device shall provide for protection from malicious code</v>
      </c>
      <c r="J65" s="14">
        <f>FR3_SI!J29</f>
        <v>1</v>
      </c>
      <c r="K65" s="15">
        <f>FR3_SI!D28</f>
        <v>0</v>
      </c>
      <c r="L65" s="12" t="s">
        <v>104</v>
      </c>
      <c r="M65" s="12" t="str">
        <f>FR3_SI!A27</f>
        <v>NDR</v>
      </c>
      <c r="N65" s="14" t="str">
        <f>FR3_SI!B27</f>
        <v>3.2</v>
      </c>
      <c r="O65" s="12" t="s">
        <v>105</v>
      </c>
      <c r="P65" s="12" t="str">
        <f t="shared" si="5"/>
        <v>3.2 NDR</v>
      </c>
    </row>
    <row r="66" spans="1:16" ht="130.5" x14ac:dyDescent="0.35">
      <c r="A66" s="12">
        <v>65</v>
      </c>
      <c r="B66" s="12" t="str">
        <f t="shared" ref="B66:B97" si="6">CONCATENATE(L66," - ",N66," ",M66)</f>
        <v>IEC 62443-4-2 - 3.3 CR</v>
      </c>
      <c r="C66" s="14">
        <f>FR3_SI!D32</f>
        <v>0</v>
      </c>
      <c r="D66" s="12" t="s">
        <v>102</v>
      </c>
      <c r="E66" s="14" t="str">
        <f t="shared" si="2"/>
        <v>FR 3 - System integrity (SI)</v>
      </c>
      <c r="F66" s="14" t="s">
        <v>142</v>
      </c>
      <c r="G66" s="12" t="str">
        <f t="shared" si="3"/>
        <v>n/a</v>
      </c>
      <c r="H66" s="14" t="str">
        <f>FR3_SI!C30</f>
        <v>Security functionality verification</v>
      </c>
      <c r="I66" s="15" t="str">
        <f>FR3_SI!C31</f>
        <v>Components shall provide the capability to support verification of the intended operation of security functions according to ISA‑62443‑3‑3 [11] SR3.3</v>
      </c>
      <c r="J66" s="14">
        <f>FR3_SI!J32</f>
        <v>1</v>
      </c>
      <c r="K66" s="15" t="str">
        <f>FR3_SI!D31</f>
        <v>MP-07 is about documentation, not about components performing something</v>
      </c>
      <c r="L66" s="12" t="s">
        <v>104</v>
      </c>
      <c r="M66" s="12" t="str">
        <f>FR3_SI!A30</f>
        <v>CR</v>
      </c>
      <c r="N66" s="14" t="str">
        <f>FR3_SI!B30</f>
        <v>3.3</v>
      </c>
      <c r="O66" s="12" t="s">
        <v>105</v>
      </c>
      <c r="P66" s="12" t="str">
        <f t="shared" ref="P66:P97" si="7">IF(ISNUMBER(SEARCH(" ",M66)),CONCATENATE(MID(N66,1,LEN(N66)-2)," ",LEFT(M66,FIND(" ",M66)-1)),CONCATENATE(N66," ",M66))</f>
        <v>3.3 CR</v>
      </c>
    </row>
    <row r="67" spans="1:16" ht="58" x14ac:dyDescent="0.35">
      <c r="A67" s="12">
        <v>66</v>
      </c>
      <c r="B67" s="12" t="str">
        <f t="shared" si="6"/>
        <v>IEC 62443-4-2 - 3.3.1 CR RE</v>
      </c>
      <c r="C67" s="14">
        <f>FR3_SI!D35</f>
        <v>0</v>
      </c>
      <c r="D67" s="12" t="s">
        <v>102</v>
      </c>
      <c r="E67" s="14" t="str">
        <f t="shared" si="2"/>
        <v>FR 3 - System integrity (SI)</v>
      </c>
      <c r="F67" s="14" t="s">
        <v>142</v>
      </c>
      <c r="G67" s="12" t="str">
        <f t="shared" si="3"/>
        <v>RE(1)</v>
      </c>
      <c r="H67" s="14" t="str">
        <f>FR3_SI!C33</f>
        <v>Security functionality verification during normal operation</v>
      </c>
      <c r="I67" s="15" t="str">
        <f>FR3_SI!C34</f>
        <v>Components shall provide the capability to support verification of the intended operation of security functions during normal operations. 
NOTE   This RE needs to be carefully implemented to avoid detrimental effects. It may not be suitable for safety systems.</v>
      </c>
      <c r="J67" s="14">
        <f>FR3_SI!J35</f>
        <v>4</v>
      </c>
      <c r="K67" s="15">
        <f>FR3_SI!D34</f>
        <v>0</v>
      </c>
      <c r="L67" s="12" t="s">
        <v>104</v>
      </c>
      <c r="M67" s="12" t="str">
        <f>FR3_SI!A33</f>
        <v>CR RE</v>
      </c>
      <c r="N67" s="14" t="str">
        <f>FR3_SI!B33</f>
        <v>3.3.1</v>
      </c>
      <c r="O67" s="12" t="s">
        <v>105</v>
      </c>
      <c r="P67" s="12" t="str">
        <f t="shared" si="7"/>
        <v>3.3 CR</v>
      </c>
    </row>
    <row r="68" spans="1:16" ht="333.5" x14ac:dyDescent="0.35">
      <c r="A68" s="12">
        <v>67</v>
      </c>
      <c r="B68" s="12" t="str">
        <f t="shared" si="6"/>
        <v>IEC 62443-4-2 - 3.4 CR</v>
      </c>
      <c r="C68" s="14" t="str">
        <f>FR3_SI!D43</f>
        <v>Supported</v>
      </c>
      <c r="D68" s="12" t="s">
        <v>102</v>
      </c>
      <c r="E68" s="14" t="str">
        <f t="shared" ref="E68:E126" si="8">E67</f>
        <v>FR 3 - System integrity (SI)</v>
      </c>
      <c r="F68" s="14" t="s">
        <v>143</v>
      </c>
      <c r="G68" s="12" t="str">
        <f t="shared" si="3"/>
        <v>n/a</v>
      </c>
      <c r="H68" s="14" t="str">
        <f>FR3_SI!C36</f>
        <v>Software and information integrity</v>
      </c>
      <c r="I68" s="15" t="e">
        <f>FR3_SI!#REF!</f>
        <v>#REF!</v>
      </c>
      <c r="J68" s="14">
        <f>FR3_SI!J43</f>
        <v>1</v>
      </c>
      <c r="K68" s="15" t="str">
        <f>FR3_SI!D37</f>
        <v>MCSR MP-13.2 focuses on software packages, does not address "configuration and other information" and does not require reporting. Software must include updates as well.
MP-7 is on documentation.</v>
      </c>
      <c r="L68" s="12" t="s">
        <v>104</v>
      </c>
      <c r="M68" s="12" t="str">
        <f>FR3_SI!A36</f>
        <v>CR</v>
      </c>
      <c r="N68" s="14" t="str">
        <f>FR3_SI!B36</f>
        <v>3.4</v>
      </c>
      <c r="O68" s="12" t="s">
        <v>105</v>
      </c>
      <c r="P68" s="12" t="str">
        <f t="shared" si="7"/>
        <v>3.4 CR</v>
      </c>
    </row>
    <row r="69" spans="1:16" x14ac:dyDescent="0.35">
      <c r="A69" s="12">
        <v>68</v>
      </c>
      <c r="B69" s="12" t="str">
        <f t="shared" si="6"/>
        <v>IEC 62443-4-2 - 3.4.1 CR RE</v>
      </c>
      <c r="C69" s="14" t="str">
        <f>FR3_SI!D51</f>
        <v>Supported</v>
      </c>
      <c r="D69" s="12" t="s">
        <v>102</v>
      </c>
      <c r="E69" s="14" t="str">
        <f t="shared" si="8"/>
        <v>FR 3 - System integrity (SI)</v>
      </c>
      <c r="F69" s="14" t="s">
        <v>143</v>
      </c>
      <c r="G69" s="12" t="str">
        <f t="shared" ref="G69:G126" si="9">IF(ISNUMBER(SEARCH(" ",M69)),CONCATENATE("RE(",RIGHT(N69),")"),"n/a")</f>
        <v>RE(1)</v>
      </c>
      <c r="H69" s="14" t="str">
        <f>FR3_SI!C44</f>
        <v>Authenticity of software and information</v>
      </c>
      <c r="I69" s="15" t="e">
        <f>FR3_SI!#REF!</f>
        <v>#REF!</v>
      </c>
      <c r="J69" s="14">
        <f>FR3_SI!J51</f>
        <v>2</v>
      </c>
      <c r="K69" s="15" t="e">
        <f>FR3_SI!#REF!</f>
        <v>#REF!</v>
      </c>
      <c r="L69" s="12" t="s">
        <v>104</v>
      </c>
      <c r="M69" s="12" t="str">
        <f>FR3_SI!A44</f>
        <v>CR RE</v>
      </c>
      <c r="N69" s="14" t="str">
        <f>FR3_SI!B44</f>
        <v>3.4.1</v>
      </c>
      <c r="O69" s="12" t="s">
        <v>105</v>
      </c>
      <c r="P69" s="12" t="str">
        <f t="shared" si="7"/>
        <v>3.4 CR</v>
      </c>
    </row>
    <row r="70" spans="1:16" ht="43.5" x14ac:dyDescent="0.35">
      <c r="A70" s="12">
        <v>69</v>
      </c>
      <c r="B70" s="12" t="str">
        <f t="shared" si="6"/>
        <v>IEC 62443-4-2 - 3.4.2 CR RE</v>
      </c>
      <c r="C70" s="14">
        <f>FR3_SI!D54</f>
        <v>0</v>
      </c>
      <c r="D70" s="12" t="s">
        <v>102</v>
      </c>
      <c r="E70" s="14" t="str">
        <f t="shared" si="8"/>
        <v>FR 3 - System integrity (SI)</v>
      </c>
      <c r="F70" s="14" t="s">
        <v>143</v>
      </c>
      <c r="G70" s="12" t="str">
        <f t="shared" si="9"/>
        <v>RE(2)</v>
      </c>
      <c r="H70" s="14" t="str">
        <f>FR3_SI!C52</f>
        <v>Automated notification of integrity violations</v>
      </c>
      <c r="I70" s="15" t="str">
        <f>FR3_SI!C53</f>
        <v>If the component is performing the integrity check, it shall be capable of automatically providing notification to a configurable entity upon discovery of an attempt to make an unauthorized change.</v>
      </c>
      <c r="J70" s="14">
        <f>FR3_SI!J54</f>
        <v>3</v>
      </c>
      <c r="K70" s="15">
        <f>FR3_SI!D53</f>
        <v>0</v>
      </c>
      <c r="L70" s="12" t="s">
        <v>104</v>
      </c>
      <c r="M70" s="12" t="str">
        <f>FR3_SI!A52</f>
        <v>CR RE</v>
      </c>
      <c r="N70" s="14" t="str">
        <f>FR3_SI!B52</f>
        <v>3.4.2</v>
      </c>
      <c r="O70" s="12" t="s">
        <v>105</v>
      </c>
      <c r="P70" s="12" t="str">
        <f t="shared" si="7"/>
        <v>3.4 CR</v>
      </c>
    </row>
    <row r="71" spans="1:16" ht="304.5" x14ac:dyDescent="0.35">
      <c r="A71" s="12">
        <v>70</v>
      </c>
      <c r="B71" s="12" t="str">
        <f t="shared" si="6"/>
        <v>IEC 62443-4-2 - 3.5 CR</v>
      </c>
      <c r="C71" s="14" t="str">
        <f>FR3_SI!D57</f>
        <v>Supported</v>
      </c>
      <c r="D71" s="12" t="s">
        <v>102</v>
      </c>
      <c r="E71" s="14" t="str">
        <f t="shared" si="8"/>
        <v>FR 3 - System integrity (SI)</v>
      </c>
      <c r="F71" s="14" t="s">
        <v>144</v>
      </c>
      <c r="G71" s="12" t="str">
        <f t="shared" si="9"/>
        <v>n/a</v>
      </c>
      <c r="H71" s="14" t="str">
        <f>FR3_SI!C55</f>
        <v>Input validation</v>
      </c>
      <c r="I71" s="15" t="str">
        <f>FR3_SI!C56</f>
        <v>Components shall validate the syntax, length and content of any input data that is used as an industrial process control input or input via external interfaces that directly impacts the action of the component.</v>
      </c>
      <c r="J71" s="14">
        <f>FR3_SI!J57</f>
        <v>1</v>
      </c>
      <c r="K71" s="15" t="str">
        <f>FR3_SI!D56</f>
        <v>Partially addressed by DSAC, should this be kept or not? Could give a wrong signal… an equivalent is in security assessment list. Suggestion is to keep it, but it may be perceived as raising the bar…</v>
      </c>
      <c r="L71" s="12" t="s">
        <v>104</v>
      </c>
      <c r="M71" s="12" t="str">
        <f>FR3_SI!A55</f>
        <v>CR</v>
      </c>
      <c r="N71" s="14" t="str">
        <f>FR3_SI!B55</f>
        <v>3.5</v>
      </c>
      <c r="O71" s="12" t="s">
        <v>105</v>
      </c>
      <c r="P71" s="12" t="str">
        <f t="shared" si="7"/>
        <v>3.5 CR</v>
      </c>
    </row>
    <row r="72" spans="1:16" ht="43.5" x14ac:dyDescent="0.35">
      <c r="A72" s="12">
        <v>71</v>
      </c>
      <c r="B72" s="12" t="str">
        <f t="shared" si="6"/>
        <v>IEC 62443-4-2 - 3.6 CR</v>
      </c>
      <c r="C72" s="14">
        <f>FR3_SI!D60</f>
        <v>0</v>
      </c>
      <c r="D72" s="12" t="s">
        <v>102</v>
      </c>
      <c r="E72" s="14" t="str">
        <f t="shared" si="8"/>
        <v>FR 3 - System integrity (SI)</v>
      </c>
      <c r="F72" s="14" t="s">
        <v>145</v>
      </c>
      <c r="G72" s="12" t="str">
        <f t="shared" si="9"/>
        <v>n/a</v>
      </c>
      <c r="H72" s="14" t="str">
        <f>FR3_SI!C58</f>
        <v>Deterministic output</v>
      </c>
      <c r="I72" s="15" t="str">
        <f>FR3_SI!C59</f>
        <v>Components that physically or logically connect to an automation process shall provide the capability to set outputs to a predetermined state if normal operation as defined by the component supplier cannot be maintained.</v>
      </c>
      <c r="J72" s="14">
        <f>FR3_SI!J60</f>
        <v>1</v>
      </c>
      <c r="K72" s="15">
        <f>FR3_SI!D59</f>
        <v>0</v>
      </c>
      <c r="L72" s="12" t="s">
        <v>104</v>
      </c>
      <c r="M72" s="12" t="str">
        <f>FR3_SI!A58</f>
        <v>CR</v>
      </c>
      <c r="N72" s="14" t="str">
        <f>FR3_SI!B58</f>
        <v>3.6</v>
      </c>
      <c r="O72" s="12" t="s">
        <v>105</v>
      </c>
      <c r="P72" s="12" t="str">
        <f t="shared" si="7"/>
        <v>3.6 CR</v>
      </c>
    </row>
    <row r="73" spans="1:16" ht="29" x14ac:dyDescent="0.35">
      <c r="A73" s="12">
        <v>72</v>
      </c>
      <c r="B73" s="12" t="str">
        <f t="shared" si="6"/>
        <v>IEC 62443-4-2 - 3.7 CR</v>
      </c>
      <c r="C73" s="14" t="str">
        <f>FR3_SI!D63</f>
        <v>Supported</v>
      </c>
      <c r="D73" s="12" t="s">
        <v>102</v>
      </c>
      <c r="E73" s="14" t="str">
        <f t="shared" si="8"/>
        <v>FR 3 - System integrity (SI)</v>
      </c>
      <c r="F73" s="14" t="s">
        <v>146</v>
      </c>
      <c r="G73" s="12" t="str">
        <f t="shared" si="9"/>
        <v>n/a</v>
      </c>
      <c r="H73" s="14" t="str">
        <f>FR3_SI!C61</f>
        <v>Error handling</v>
      </c>
      <c r="I73" s="15" t="str">
        <f>FR3_SI!C62</f>
        <v>Components shall identify and handle error conditions in a manner that does not provide information that could be exploited by adversaries to attack the IACS.</v>
      </c>
      <c r="J73" s="14">
        <f>FR3_SI!J63</f>
        <v>1</v>
      </c>
      <c r="K73" s="15">
        <f>FR3_SI!D62</f>
        <v>0</v>
      </c>
      <c r="L73" s="12" t="s">
        <v>104</v>
      </c>
      <c r="M73" s="12" t="str">
        <f>FR3_SI!A61</f>
        <v>CR</v>
      </c>
      <c r="N73" s="14" t="str">
        <f>FR3_SI!B61</f>
        <v>3.7</v>
      </c>
      <c r="O73" s="12" t="s">
        <v>105</v>
      </c>
      <c r="P73" s="12" t="str">
        <f t="shared" si="7"/>
        <v>3.7 CR</v>
      </c>
    </row>
    <row r="74" spans="1:16" ht="130.5" x14ac:dyDescent="0.35">
      <c r="A74" s="12">
        <v>73</v>
      </c>
      <c r="B74" s="12" t="str">
        <f t="shared" si="6"/>
        <v>IEC 62443-4-2 - 3.8 CR</v>
      </c>
      <c r="C74" s="14" t="str">
        <f>FR3_SI!D68</f>
        <v>Supported</v>
      </c>
      <c r="D74" s="12" t="s">
        <v>102</v>
      </c>
      <c r="E74" s="14" t="str">
        <f t="shared" si="8"/>
        <v>FR 3 - System integrity (SI)</v>
      </c>
      <c r="F74" s="14" t="s">
        <v>147</v>
      </c>
      <c r="G74" s="12" t="str">
        <f t="shared" si="9"/>
        <v>n/a</v>
      </c>
      <c r="H74" s="14" t="str">
        <f>FR3_SI!C64</f>
        <v>Session Integrity</v>
      </c>
      <c r="I74" s="15" t="str">
        <f>FR3_SI!C65</f>
        <v>Components shall provide mechanisms to protect the integrity of communications sessions including:
a)  the capability to invalidate session identifiers upon user logout or other session termination (including browser sessions);</v>
      </c>
      <c r="J74" s="14">
        <f>FR3_SI!J68</f>
        <v>2</v>
      </c>
      <c r="K74" s="15" t="str">
        <f>FR3_SI!D65</f>
        <v>Relates to input validation / communication robustness, as well as secure protocols</v>
      </c>
      <c r="L74" s="12" t="s">
        <v>104</v>
      </c>
      <c r="M74" s="12" t="str">
        <f>FR3_SI!A64</f>
        <v>CR</v>
      </c>
      <c r="N74" s="14" t="str">
        <f>FR3_SI!B64</f>
        <v>3.8</v>
      </c>
      <c r="O74" s="12" t="s">
        <v>105</v>
      </c>
      <c r="P74" s="12" t="str">
        <f t="shared" si="7"/>
        <v>3.8 CR</v>
      </c>
    </row>
    <row r="75" spans="1:16" ht="29" x14ac:dyDescent="0.35">
      <c r="A75" s="12">
        <v>74</v>
      </c>
      <c r="B75" s="12" t="str">
        <f t="shared" si="6"/>
        <v>IEC 62443-4-2 - 3.9 CR</v>
      </c>
      <c r="C75" s="14">
        <f>FR3_SI!D71</f>
        <v>0</v>
      </c>
      <c r="D75" s="12" t="s">
        <v>102</v>
      </c>
      <c r="E75" s="14" t="str">
        <f t="shared" si="8"/>
        <v>FR 3 - System integrity (SI)</v>
      </c>
      <c r="F75" s="14" t="s">
        <v>148</v>
      </c>
      <c r="G75" s="12" t="str">
        <f t="shared" si="9"/>
        <v>n/a</v>
      </c>
      <c r="H75" s="14" t="str">
        <f>FR3_SI!C69</f>
        <v>Protection of audit information</v>
      </c>
      <c r="I75" s="15" t="str">
        <f>FR3_SI!C70</f>
        <v>Components shall protect audit information, audit logs, and audit tools (if present) from unauthorized access, modification and deletion.</v>
      </c>
      <c r="J75" s="14">
        <f>FR3_SI!J71</f>
        <v>2</v>
      </c>
      <c r="K75" s="15">
        <f>FR3_SI!D70</f>
        <v>0</v>
      </c>
      <c r="L75" s="12" t="s">
        <v>104</v>
      </c>
      <c r="M75" s="12" t="str">
        <f>FR3_SI!A69</f>
        <v>CR</v>
      </c>
      <c r="N75" s="14" t="str">
        <f>FR3_SI!B69</f>
        <v>3.9</v>
      </c>
      <c r="O75" s="12" t="s">
        <v>105</v>
      </c>
      <c r="P75" s="12" t="str">
        <f t="shared" si="7"/>
        <v>3.9 CR</v>
      </c>
    </row>
    <row r="76" spans="1:16" ht="29" x14ac:dyDescent="0.35">
      <c r="A76" s="12">
        <v>75</v>
      </c>
      <c r="B76" s="12" t="str">
        <f t="shared" si="6"/>
        <v>IEC 62443-4-2 - 3.9.1 CR RE</v>
      </c>
      <c r="C76" s="14">
        <f>FR3_SI!D74</f>
        <v>0</v>
      </c>
      <c r="D76" s="12" t="s">
        <v>102</v>
      </c>
      <c r="E76" s="14" t="str">
        <f t="shared" si="8"/>
        <v>FR 3 - System integrity (SI)</v>
      </c>
      <c r="F76" s="14" t="s">
        <v>148</v>
      </c>
      <c r="G76" s="12" t="str">
        <f t="shared" si="9"/>
        <v>RE(1)</v>
      </c>
      <c r="H76" s="14" t="str">
        <f>FR3_SI!C72</f>
        <v>Audit records on write-once media</v>
      </c>
      <c r="I76" s="15" t="str">
        <f>FR3_SI!C73</f>
        <v>Components shall provide the capability to store audit records on hardware-enforced write-once media.</v>
      </c>
      <c r="J76" s="14">
        <f>FR3_SI!J74</f>
        <v>4</v>
      </c>
      <c r="K76" s="15">
        <f>FR3_SI!D73</f>
        <v>0</v>
      </c>
      <c r="L76" s="12" t="s">
        <v>104</v>
      </c>
      <c r="M76" s="12" t="str">
        <f>FR3_SI!A72</f>
        <v>CR RE</v>
      </c>
      <c r="N76" s="14" t="str">
        <f>FR3_SI!B72</f>
        <v>3.9.1</v>
      </c>
      <c r="O76" s="12" t="s">
        <v>105</v>
      </c>
      <c r="P76" s="12" t="str">
        <f t="shared" si="7"/>
        <v>3.9 CR</v>
      </c>
    </row>
    <row r="77" spans="1:16" x14ac:dyDescent="0.35">
      <c r="A77" s="12">
        <v>76</v>
      </c>
      <c r="B77" s="12" t="str">
        <f t="shared" si="6"/>
        <v>IEC 62443-4-2 - 3.10 EDR</v>
      </c>
      <c r="C77" s="14" t="str">
        <f>FR3_SI!D77</f>
        <v>Supported</v>
      </c>
      <c r="D77" s="12" t="s">
        <v>102</v>
      </c>
      <c r="E77" s="14" t="str">
        <f t="shared" si="8"/>
        <v>FR 3 - System integrity (SI)</v>
      </c>
      <c r="F77" s="14" t="s">
        <v>149</v>
      </c>
      <c r="G77" s="12" t="str">
        <f t="shared" si="9"/>
        <v>n/a</v>
      </c>
      <c r="H77" s="14" t="str">
        <f>FR3_SI!C75</f>
        <v>Support for updates</v>
      </c>
      <c r="I77" s="15" t="str">
        <f>FR3_SI!C76</f>
        <v>The embedded device shall support the ability to be updated and upgraded.</v>
      </c>
      <c r="J77" s="14">
        <f>FR3_SI!J77</f>
        <v>1</v>
      </c>
      <c r="K77" s="15">
        <f>FR3_SI!D76</f>
        <v>0</v>
      </c>
      <c r="L77" s="12" t="s">
        <v>104</v>
      </c>
      <c r="M77" s="12" t="str">
        <f>FR3_SI!A75</f>
        <v>EDR</v>
      </c>
      <c r="N77" s="14" t="str">
        <f>FR3_SI!B75</f>
        <v>3.10</v>
      </c>
      <c r="O77" s="12" t="s">
        <v>105</v>
      </c>
      <c r="P77" s="12" t="str">
        <f t="shared" si="7"/>
        <v>3.10 EDR</v>
      </c>
    </row>
    <row r="78" spans="1:16" ht="217.5" x14ac:dyDescent="0.35">
      <c r="A78" s="12">
        <v>77</v>
      </c>
      <c r="B78" s="12" t="str">
        <f t="shared" si="6"/>
        <v>IEC 62443-4-2 - 3.10.1 EDR RE</v>
      </c>
      <c r="C78" s="14" t="str">
        <f>FR3_SI!D80</f>
        <v>Supported with some restrictions/partly needs clarifications</v>
      </c>
      <c r="D78" s="12" t="s">
        <v>102</v>
      </c>
      <c r="E78" s="14" t="str">
        <f t="shared" si="8"/>
        <v>FR 3 - System integrity (SI)</v>
      </c>
      <c r="F78" s="14" t="s">
        <v>149</v>
      </c>
      <c r="G78" s="12" t="str">
        <f t="shared" si="9"/>
        <v>RE(1)</v>
      </c>
      <c r="H78" s="14" t="str">
        <f>FR3_SI!C78</f>
        <v>Update authenticity and integrity</v>
      </c>
      <c r="I78" s="15" t="str">
        <f>FR3_SI!C79</f>
        <v>The embedded device shall validate the authenticity and integrity of any software update or upgrade prior to installation.</v>
      </c>
      <c r="J78" s="14">
        <f>FR3_SI!J80</f>
        <v>2</v>
      </c>
      <c r="K78" s="15" t="str">
        <f>FR3_SI!D79</f>
        <v>MCSR would allow to provide a hash code to provide integrity and authenticity(provided the hash code was downloaded from ABB.com)</v>
      </c>
      <c r="L78" s="12" t="s">
        <v>104</v>
      </c>
      <c r="M78" s="12" t="str">
        <f>FR3_SI!A78</f>
        <v>EDR RE</v>
      </c>
      <c r="N78" s="14" t="str">
        <f>FR3_SI!B78</f>
        <v>3.10.1</v>
      </c>
      <c r="O78" s="12" t="s">
        <v>105</v>
      </c>
      <c r="P78" s="12" t="str">
        <f t="shared" si="7"/>
        <v>3.10 EDR</v>
      </c>
    </row>
    <row r="79" spans="1:16" x14ac:dyDescent="0.35">
      <c r="A79" s="12">
        <v>78</v>
      </c>
      <c r="B79" s="12" t="str">
        <f t="shared" si="6"/>
        <v>IEC 62443-4-2 - 3.10 HDR</v>
      </c>
      <c r="C79" s="14">
        <f>FR3_SI!D83</f>
        <v>0</v>
      </c>
      <c r="D79" s="12" t="s">
        <v>102</v>
      </c>
      <c r="E79" s="14" t="str">
        <f t="shared" si="8"/>
        <v>FR 3 - System integrity (SI)</v>
      </c>
      <c r="F79" s="14" t="s">
        <v>150</v>
      </c>
      <c r="G79" s="12" t="str">
        <f t="shared" si="9"/>
        <v>n/a</v>
      </c>
      <c r="H79" s="14" t="str">
        <f>FR3_SI!C81</f>
        <v>Support for updates</v>
      </c>
      <c r="I79" s="15" t="str">
        <f>FR3_SI!C82</f>
        <v>Host devices shall support the ability to be updated and upgraded.</v>
      </c>
      <c r="J79" s="14">
        <f>FR3_SI!J83</f>
        <v>1</v>
      </c>
      <c r="K79" s="15">
        <f>FR3_SI!D82</f>
        <v>0</v>
      </c>
      <c r="L79" s="12" t="s">
        <v>104</v>
      </c>
      <c r="M79" s="12" t="str">
        <f>FR3_SI!A81</f>
        <v>HDR</v>
      </c>
      <c r="N79" s="14" t="str">
        <f>FR3_SI!B81</f>
        <v>3.10</v>
      </c>
      <c r="O79" s="12" t="s">
        <v>105</v>
      </c>
      <c r="P79" s="12" t="str">
        <f t="shared" si="7"/>
        <v>3.10 HDR</v>
      </c>
    </row>
    <row r="80" spans="1:16" ht="29" x14ac:dyDescent="0.35">
      <c r="A80" s="12">
        <v>79</v>
      </c>
      <c r="B80" s="12" t="str">
        <f t="shared" si="6"/>
        <v>IEC 62443-4-2 - 3.10.1 HDR RE</v>
      </c>
      <c r="C80" s="14">
        <f>FR3_SI!D86</f>
        <v>0</v>
      </c>
      <c r="D80" s="12" t="s">
        <v>102</v>
      </c>
      <c r="E80" s="14" t="str">
        <f t="shared" si="8"/>
        <v>FR 3 - System integrity (SI)</v>
      </c>
      <c r="F80" s="14" t="s">
        <v>150</v>
      </c>
      <c r="G80" s="12" t="str">
        <f t="shared" si="9"/>
        <v>RE(1)</v>
      </c>
      <c r="H80" s="14" t="str">
        <f>FR3_SI!C84</f>
        <v>Update authenticity and integrity</v>
      </c>
      <c r="I80" s="15" t="str">
        <f>FR3_SI!C85</f>
        <v>Host devices shall validate the authenticity and integrity of any software update or upgrade prior to installation.</v>
      </c>
      <c r="J80" s="14">
        <f>FR3_SI!J86</f>
        <v>3</v>
      </c>
      <c r="K80" s="15">
        <f>FR3_SI!D85</f>
        <v>0</v>
      </c>
      <c r="L80" s="12" t="s">
        <v>104</v>
      </c>
      <c r="M80" s="12" t="str">
        <f>FR3_SI!A84</f>
        <v>HDR RE</v>
      </c>
      <c r="N80" s="14" t="str">
        <f>FR3_SI!B84</f>
        <v>3.10.1</v>
      </c>
      <c r="O80" s="12" t="s">
        <v>105</v>
      </c>
      <c r="P80" s="12" t="str">
        <f t="shared" si="7"/>
        <v>3.10 HDR</v>
      </c>
    </row>
    <row r="81" spans="1:16" x14ac:dyDescent="0.35">
      <c r="A81" s="12">
        <v>80</v>
      </c>
      <c r="B81" s="12" t="str">
        <f t="shared" si="6"/>
        <v>IEC 62443-4-2 - 3.10 NDR</v>
      </c>
      <c r="C81" s="14">
        <f>FR3_SI!D89</f>
        <v>0</v>
      </c>
      <c r="D81" s="12" t="s">
        <v>102</v>
      </c>
      <c r="E81" s="14" t="str">
        <f t="shared" si="8"/>
        <v>FR 3 - System integrity (SI)</v>
      </c>
      <c r="F81" s="14" t="s">
        <v>151</v>
      </c>
      <c r="G81" s="12" t="str">
        <f t="shared" si="9"/>
        <v>n/a</v>
      </c>
      <c r="H81" s="14" t="str">
        <f>FR3_SI!C87</f>
        <v>Support for updates</v>
      </c>
      <c r="I81" s="15" t="str">
        <f>FR3_SI!C88</f>
        <v>Network devices shall support the ability to be updated and upgraded.</v>
      </c>
      <c r="J81" s="14">
        <f>FR3_SI!J89</f>
        <v>1</v>
      </c>
      <c r="K81" s="15">
        <f>FR3_SI!D88</f>
        <v>0</v>
      </c>
      <c r="L81" s="12" t="s">
        <v>104</v>
      </c>
      <c r="M81" s="12" t="str">
        <f>FR3_SI!A87</f>
        <v>NDR</v>
      </c>
      <c r="N81" s="14" t="str">
        <f>FR3_SI!B87</f>
        <v>3.10</v>
      </c>
      <c r="O81" s="12" t="s">
        <v>105</v>
      </c>
      <c r="P81" s="12" t="str">
        <f t="shared" si="7"/>
        <v>3.10 NDR</v>
      </c>
    </row>
    <row r="82" spans="1:16" ht="29" x14ac:dyDescent="0.35">
      <c r="A82" s="12">
        <v>81</v>
      </c>
      <c r="B82" s="12" t="str">
        <f t="shared" si="6"/>
        <v>IEC 62443-4-2 - 3.10.1 NDR RE</v>
      </c>
      <c r="C82" s="14">
        <f>FR3_SI!D92</f>
        <v>0</v>
      </c>
      <c r="D82" s="12" t="s">
        <v>102</v>
      </c>
      <c r="E82" s="14" t="str">
        <f t="shared" si="8"/>
        <v>FR 3 - System integrity (SI)</v>
      </c>
      <c r="F82" s="14" t="s">
        <v>151</v>
      </c>
      <c r="G82" s="12" t="str">
        <f t="shared" si="9"/>
        <v>RE(1)</v>
      </c>
      <c r="H82" s="14" t="str">
        <f>FR3_SI!C90</f>
        <v>Update authenticity and integrity</v>
      </c>
      <c r="I82" s="15" t="str">
        <f>FR3_SI!C91</f>
        <v>Network devices shall validate the authenticity and integrity of any software update or upgrade prior to installation.</v>
      </c>
      <c r="J82" s="14">
        <f>FR3_SI!J92</f>
        <v>2</v>
      </c>
      <c r="K82" s="15">
        <f>FR3_SI!D91</f>
        <v>0</v>
      </c>
      <c r="L82" s="12" t="s">
        <v>104</v>
      </c>
      <c r="M82" s="12" t="str">
        <f>FR3_SI!A90</f>
        <v>NDR RE</v>
      </c>
      <c r="N82" s="14" t="str">
        <f>FR3_SI!B90</f>
        <v>3.10.1</v>
      </c>
      <c r="O82" s="12" t="s">
        <v>105</v>
      </c>
      <c r="P82" s="12" t="str">
        <f t="shared" si="7"/>
        <v>3.10 NDR</v>
      </c>
    </row>
    <row r="83" spans="1:16" ht="29" x14ac:dyDescent="0.35">
      <c r="A83" s="12">
        <v>82</v>
      </c>
      <c r="B83" s="12" t="str">
        <f t="shared" si="6"/>
        <v>IEC 62443-4-2 - 3.11 EDR</v>
      </c>
      <c r="C83" s="14">
        <f>FR3_SI!D95</f>
        <v>0</v>
      </c>
      <c r="D83" s="12" t="s">
        <v>102</v>
      </c>
      <c r="E83" s="14" t="str">
        <f t="shared" si="8"/>
        <v>FR 3 - System integrity (SI)</v>
      </c>
      <c r="F83" s="14" t="s">
        <v>152</v>
      </c>
      <c r="G83" s="12" t="str">
        <f t="shared" si="9"/>
        <v>n/a</v>
      </c>
      <c r="H83" s="14" t="str">
        <f>FR3_SI!C93</f>
        <v>Physical tamper resistance and detection</v>
      </c>
      <c r="I83" s="15" t="str">
        <f>FR3_SI!C94</f>
        <v>The embedded device shall provide tamper resistance and detection mechanisms to protect against unauthorized physical access into the device</v>
      </c>
      <c r="J83" s="14">
        <f>FR3_SI!J95</f>
        <v>2</v>
      </c>
      <c r="K83" s="15">
        <f>FR3_SI!D94</f>
        <v>0</v>
      </c>
      <c r="L83" s="12" t="s">
        <v>104</v>
      </c>
      <c r="M83" s="12" t="str">
        <f>FR3_SI!A93</f>
        <v>EDR</v>
      </c>
      <c r="N83" s="14" t="str">
        <f>FR3_SI!B93</f>
        <v>3.11</v>
      </c>
      <c r="O83" s="12" t="s">
        <v>105</v>
      </c>
      <c r="P83" s="12" t="str">
        <f t="shared" si="7"/>
        <v>3.11 EDR</v>
      </c>
    </row>
    <row r="84" spans="1:16" ht="58" x14ac:dyDescent="0.35">
      <c r="A84" s="12">
        <v>83</v>
      </c>
      <c r="B84" s="12" t="str">
        <f t="shared" si="6"/>
        <v>IEC 62443-4-2 - 3.11.1 EDR RE</v>
      </c>
      <c r="C84" s="14">
        <f>FR3_SI!D98</f>
        <v>0</v>
      </c>
      <c r="D84" s="12" t="s">
        <v>102</v>
      </c>
      <c r="E84" s="14" t="str">
        <f t="shared" si="8"/>
        <v>FR 3 - System integrity (SI)</v>
      </c>
      <c r="F84" s="14" t="s">
        <v>152</v>
      </c>
      <c r="G84" s="12" t="str">
        <f t="shared" si="9"/>
        <v>RE(1)</v>
      </c>
      <c r="H84" s="14" t="str">
        <f>FR3_SI!C96</f>
        <v>Notification of a tampering attempt</v>
      </c>
      <c r="I84" s="15" t="str">
        <f>FR3_SI!C97</f>
        <v>The embedded device shall be capable of automatically providing notification to a configurable set of recipients upon discovery of an attempt to make an unauthorized physical access. All notifications of tampering shall be logged as part of the overall audit logging function.</v>
      </c>
      <c r="J84" s="14">
        <f>FR3_SI!J98</f>
        <v>3</v>
      </c>
      <c r="K84" s="15">
        <f>FR3_SI!D97</f>
        <v>0</v>
      </c>
      <c r="L84" s="12" t="s">
        <v>104</v>
      </c>
      <c r="M84" s="12" t="str">
        <f>FR3_SI!A96</f>
        <v>EDR RE</v>
      </c>
      <c r="N84" s="14" t="str">
        <f>FR3_SI!B96</f>
        <v>3.11.1</v>
      </c>
      <c r="O84" s="12" t="s">
        <v>105</v>
      </c>
      <c r="P84" s="12" t="str">
        <f t="shared" si="7"/>
        <v>3.11 EDR</v>
      </c>
    </row>
    <row r="85" spans="1:16" ht="43.5" x14ac:dyDescent="0.35">
      <c r="A85" s="12">
        <v>84</v>
      </c>
      <c r="B85" s="12" t="str">
        <f t="shared" si="6"/>
        <v>IEC 62443-4-2 - 3.11 HDR</v>
      </c>
      <c r="C85" s="14">
        <f>FR3_SI!D101</f>
        <v>0</v>
      </c>
      <c r="D85" s="12" t="s">
        <v>102</v>
      </c>
      <c r="E85" s="14" t="str">
        <f t="shared" si="8"/>
        <v>FR 3 - System integrity (SI)</v>
      </c>
      <c r="F85" s="14" t="s">
        <v>153</v>
      </c>
      <c r="G85" s="12" t="str">
        <f t="shared" si="9"/>
        <v>n/a</v>
      </c>
      <c r="H85" s="14" t="str">
        <f>FR3_SI!C99</f>
        <v>Physical tamper resistance and detection</v>
      </c>
      <c r="I85" s="15" t="str">
        <f>FR3_SI!C100</f>
        <v>Host devices shall provide the capability to support tamper resistance and detection mechanisms to protect against unauthorized physical access into the device.</v>
      </c>
      <c r="J85" s="14">
        <f>FR3_SI!J101</f>
        <v>2</v>
      </c>
      <c r="K85" s="15">
        <f>FR3_SI!D100</f>
        <v>0</v>
      </c>
      <c r="L85" s="12" t="s">
        <v>104</v>
      </c>
      <c r="M85" s="12" t="str">
        <f>FR3_SI!A99</f>
        <v>HDR</v>
      </c>
      <c r="N85" s="14" t="str">
        <f>FR3_SI!B99</f>
        <v>3.11</v>
      </c>
      <c r="O85" s="12" t="s">
        <v>105</v>
      </c>
      <c r="P85" s="12" t="str">
        <f t="shared" si="7"/>
        <v>3.11 HDR</v>
      </c>
    </row>
    <row r="86" spans="1:16" ht="58" x14ac:dyDescent="0.35">
      <c r="A86" s="12">
        <v>85</v>
      </c>
      <c r="B86" s="12" t="str">
        <f t="shared" si="6"/>
        <v>IEC 62443-4-2 - 3.11.1 HDR RE</v>
      </c>
      <c r="C86" s="14">
        <f>FR3_SI!D104</f>
        <v>0</v>
      </c>
      <c r="D86" s="12" t="s">
        <v>102</v>
      </c>
      <c r="E86" s="14" t="str">
        <f t="shared" si="8"/>
        <v>FR 3 - System integrity (SI)</v>
      </c>
      <c r="F86" s="14" t="s">
        <v>153</v>
      </c>
      <c r="G86" s="12" t="str">
        <f t="shared" si="9"/>
        <v>RE(1)</v>
      </c>
      <c r="H86" s="14" t="str">
        <f>FR3_SI!C102</f>
        <v>Notification of a tampering attempt</v>
      </c>
      <c r="I86" s="15" t="str">
        <f>FR3_SI!C103</f>
        <v>Host devices shall be capable of automatically providing notification to a configurable set of recipients upon discovery of an attempt to make an unauthorized physical access. All notifications of tampering shall be logged as part of the overall audit logging function.</v>
      </c>
      <c r="J86" s="14">
        <f>FR3_SI!J104</f>
        <v>3</v>
      </c>
      <c r="K86" s="15">
        <f>FR3_SI!D103</f>
        <v>0</v>
      </c>
      <c r="L86" s="12" t="s">
        <v>104</v>
      </c>
      <c r="M86" s="12" t="str">
        <f>FR3_SI!A102</f>
        <v>HDR RE</v>
      </c>
      <c r="N86" s="14" t="str">
        <f>FR3_SI!B102</f>
        <v>3.11.1</v>
      </c>
      <c r="O86" s="12" t="s">
        <v>105</v>
      </c>
      <c r="P86" s="12" t="str">
        <f t="shared" si="7"/>
        <v>3.11 HDR</v>
      </c>
    </row>
    <row r="87" spans="1:16" ht="29" x14ac:dyDescent="0.35">
      <c r="A87" s="12">
        <v>86</v>
      </c>
      <c r="B87" s="12" t="str">
        <f t="shared" si="6"/>
        <v>IEC 62443-4-2 - 3.11 NDR</v>
      </c>
      <c r="C87" s="14">
        <f>FR3_SI!D107</f>
        <v>0</v>
      </c>
      <c r="D87" s="12" t="s">
        <v>102</v>
      </c>
      <c r="E87" s="14" t="str">
        <f t="shared" si="8"/>
        <v>FR 3 - System integrity (SI)</v>
      </c>
      <c r="F87" s="14" t="s">
        <v>154</v>
      </c>
      <c r="G87" s="12" t="str">
        <f t="shared" si="9"/>
        <v>n/a</v>
      </c>
      <c r="H87" s="14" t="str">
        <f>FR3_SI!C105</f>
        <v>Physical tamper resistance and detection</v>
      </c>
      <c r="I87" s="15" t="str">
        <f>FR3_SI!C106</f>
        <v>Network devices shall provide tamper resistance and detection mechanisms to protect against unauthorized physical access into the device.</v>
      </c>
      <c r="J87" s="14">
        <f>FR3_SI!J107</f>
        <v>2</v>
      </c>
      <c r="K87" s="15">
        <f>FR3_SI!D106</f>
        <v>0</v>
      </c>
      <c r="L87" s="12" t="s">
        <v>104</v>
      </c>
      <c r="M87" s="12" t="str">
        <f>FR3_SI!A105</f>
        <v>NDR</v>
      </c>
      <c r="N87" s="14" t="str">
        <f>FR3_SI!B105</f>
        <v>3.11</v>
      </c>
      <c r="O87" s="12" t="s">
        <v>105</v>
      </c>
      <c r="P87" s="12" t="str">
        <f t="shared" si="7"/>
        <v>3.11 NDR</v>
      </c>
    </row>
    <row r="88" spans="1:16" ht="58" x14ac:dyDescent="0.35">
      <c r="A88" s="12">
        <v>87</v>
      </c>
      <c r="B88" s="12" t="str">
        <f t="shared" si="6"/>
        <v>IEC 62443-4-2 - 3.11.1 NDR RE</v>
      </c>
      <c r="C88" s="14">
        <f>FR3_SI!D110</f>
        <v>0</v>
      </c>
      <c r="D88" s="12" t="s">
        <v>102</v>
      </c>
      <c r="E88" s="14" t="str">
        <f t="shared" si="8"/>
        <v>FR 3 - System integrity (SI)</v>
      </c>
      <c r="F88" s="14" t="s">
        <v>154</v>
      </c>
      <c r="G88" s="12" t="str">
        <f t="shared" si="9"/>
        <v>RE(1)</v>
      </c>
      <c r="H88" s="14" t="str">
        <f>FR3_SI!C108</f>
        <v>Notification of a tampering attempt</v>
      </c>
      <c r="I88" s="15" t="str">
        <f>FR3_SI!C109</f>
        <v>Network devices shall be capable of automatically providing notification to a configurable set of recipients upon discovery of an attempt to make an unauthorized physical access. All notifications of tampering shall be logged as part of the overall audit logging function.</v>
      </c>
      <c r="J88" s="14">
        <f>FR3_SI!J110</f>
        <v>3</v>
      </c>
      <c r="K88" s="15">
        <f>FR3_SI!D109</f>
        <v>0</v>
      </c>
      <c r="L88" s="12" t="s">
        <v>104</v>
      </c>
      <c r="M88" s="12" t="str">
        <f>FR3_SI!A108</f>
        <v>NDR RE</v>
      </c>
      <c r="N88" s="14" t="str">
        <f>FR3_SI!B108</f>
        <v>3.11.1</v>
      </c>
      <c r="O88" s="12" t="s">
        <v>105</v>
      </c>
      <c r="P88" s="12" t="str">
        <f t="shared" si="7"/>
        <v>3.11 NDR</v>
      </c>
    </row>
    <row r="89" spans="1:16" ht="188.5" x14ac:dyDescent="0.35">
      <c r="A89" s="12">
        <v>88</v>
      </c>
      <c r="B89" s="12" t="str">
        <f t="shared" si="6"/>
        <v>IEC 62443-4-2 - 3.12 EDR</v>
      </c>
      <c r="C89" s="14" t="str">
        <f>FR3_SI!D113</f>
        <v>Supported with some restrictions/partly needs clarifications</v>
      </c>
      <c r="D89" s="12" t="s">
        <v>102</v>
      </c>
      <c r="E89" s="14" t="str">
        <f t="shared" si="8"/>
        <v>FR 3 - System integrity (SI)</v>
      </c>
      <c r="F89" s="14" t="s">
        <v>155</v>
      </c>
      <c r="G89" s="12" t="str">
        <f t="shared" si="9"/>
        <v>n/a</v>
      </c>
      <c r="H89" s="14" t="str">
        <f>FR3_SI!C111</f>
        <v>Provisioning product supplier roots of trust</v>
      </c>
      <c r="I89" s="15" t="str">
        <f>FR3_SI!C112</f>
        <v xml:space="preserve">Embedded devices shall provide the capability to provision and protect the confidentiality, integrity, and authenticity of product supplier keys and data to be used as one or more “roots of trust” at the time of manufacture of the device. </v>
      </c>
      <c r="J89" s="14">
        <f>FR3_SI!J113</f>
        <v>2</v>
      </c>
      <c r="K89" s="15" t="str">
        <f>FR3_SI!D112</f>
        <v>MCSR does not require a supplier root of trust, like 802.1 AR (IDevID)
Only required for Internet-facing according to MCSR1.0</v>
      </c>
      <c r="L89" s="12" t="s">
        <v>104</v>
      </c>
      <c r="M89" s="12" t="str">
        <f>FR3_SI!A111</f>
        <v>EDR</v>
      </c>
      <c r="N89" s="14" t="str">
        <f>FR3_SI!B111</f>
        <v>3.12</v>
      </c>
      <c r="O89" s="12" t="s">
        <v>105</v>
      </c>
      <c r="P89" s="12" t="str">
        <f t="shared" si="7"/>
        <v>3.12 EDR</v>
      </c>
    </row>
    <row r="90" spans="1:16" ht="87" x14ac:dyDescent="0.35">
      <c r="A90" s="12">
        <v>89</v>
      </c>
      <c r="B90" s="12" t="str">
        <f t="shared" si="6"/>
        <v>IEC 62443-4-2 - 3.12 HDR</v>
      </c>
      <c r="C90" s="14">
        <f>FR3_SI!D116</f>
        <v>0</v>
      </c>
      <c r="D90" s="12" t="s">
        <v>102</v>
      </c>
      <c r="E90" s="14" t="str">
        <f t="shared" si="8"/>
        <v>FR 3 - System integrity (SI)</v>
      </c>
      <c r="F90" s="14" t="s">
        <v>156</v>
      </c>
      <c r="G90" s="12" t="str">
        <f t="shared" si="9"/>
        <v>n/a</v>
      </c>
      <c r="H90" s="14" t="str">
        <f>FR3_SI!C114</f>
        <v>Provisioning product supplier roots of trust</v>
      </c>
      <c r="I90" s="15" t="str">
        <f>FR3_SI!C115</f>
        <v xml:space="preserve">Host devices shall provide the capability to provision and protect the confidentiality, integrity, and authenticity of product supplier keys and data to be used as one or more “roots of trust” at the time of manufacture of the device. </v>
      </c>
      <c r="J90" s="14">
        <f>FR3_SI!J116</f>
        <v>2</v>
      </c>
      <c r="K90" s="15" t="str">
        <f>FR3_SI!D115</f>
        <v>Only required for Internet-facing according to MCSR1.0</v>
      </c>
      <c r="L90" s="12" t="s">
        <v>104</v>
      </c>
      <c r="M90" s="12" t="str">
        <f>FR3_SI!A114</f>
        <v>HDR</v>
      </c>
      <c r="N90" s="14" t="str">
        <f>FR3_SI!B114</f>
        <v>3.12</v>
      </c>
      <c r="O90" s="12" t="s">
        <v>105</v>
      </c>
      <c r="P90" s="12" t="str">
        <f t="shared" si="7"/>
        <v>3.12 HDR</v>
      </c>
    </row>
    <row r="91" spans="1:16" ht="43.5" x14ac:dyDescent="0.35">
      <c r="A91" s="12">
        <v>90</v>
      </c>
      <c r="B91" s="12" t="str">
        <f t="shared" si="6"/>
        <v>IEC 62443-4-2 - 3.12 NDR</v>
      </c>
      <c r="C91" s="14">
        <f>FR3_SI!D119</f>
        <v>0</v>
      </c>
      <c r="D91" s="12" t="s">
        <v>102</v>
      </c>
      <c r="E91" s="14" t="str">
        <f t="shared" si="8"/>
        <v>FR 3 - System integrity (SI)</v>
      </c>
      <c r="F91" s="14" t="s">
        <v>157</v>
      </c>
      <c r="G91" s="12" t="str">
        <f t="shared" si="9"/>
        <v>n/a</v>
      </c>
      <c r="H91" s="14" t="str">
        <f>FR3_SI!C117</f>
        <v>Provisioning product supplier roots of trust</v>
      </c>
      <c r="I91" s="15" t="str">
        <f>FR3_SI!C118</f>
        <v xml:space="preserve">Network devices shall provide the capability to provision and protect the confidentiality, integrity, and authenticity of product supplier keys and data to be used as one or more “roots of trust” at the time of manufacture of the device. </v>
      </c>
      <c r="J91" s="14">
        <f>FR3_SI!J119</f>
        <v>2</v>
      </c>
      <c r="K91" s="15">
        <f>FR3_SI!D118</f>
        <v>0</v>
      </c>
      <c r="L91" s="12" t="s">
        <v>104</v>
      </c>
      <c r="M91" s="12" t="str">
        <f>FR3_SI!A117</f>
        <v>NDR</v>
      </c>
      <c r="N91" s="14" t="str">
        <f>FR3_SI!B117</f>
        <v>3.12</v>
      </c>
      <c r="O91" s="12" t="s">
        <v>105</v>
      </c>
      <c r="P91" s="12" t="str">
        <f t="shared" si="7"/>
        <v>3.12 NDR</v>
      </c>
    </row>
    <row r="92" spans="1:16" ht="43.5" x14ac:dyDescent="0.35">
      <c r="A92" s="12">
        <v>91</v>
      </c>
      <c r="B92" s="12" t="str">
        <f t="shared" si="6"/>
        <v>IEC 62443-4-2 - 3.13 EDR</v>
      </c>
      <c r="C92" s="14" t="str">
        <f>FR3_SI!D123</f>
        <v>Supported with some restrictions/partly needs clarifications</v>
      </c>
      <c r="D92" s="12" t="s">
        <v>102</v>
      </c>
      <c r="E92" s="14" t="str">
        <f t="shared" si="8"/>
        <v>FR 3 - System integrity (SI)</v>
      </c>
      <c r="F92" s="14" t="s">
        <v>158</v>
      </c>
      <c r="G92" s="12" t="str">
        <f t="shared" si="9"/>
        <v>n/a</v>
      </c>
      <c r="H92" s="14" t="str">
        <f>FR3_SI!C120</f>
        <v>Provisioning asset owner roots of trust</v>
      </c>
      <c r="I92" s="15" t="str">
        <f>FR3_SI!C121</f>
        <v>Embedded devices shall 
a) provide the capability to provision and protect the confidentiality, integrity, and authenticity of asset owner keys and data to be used as “roots of trust”</v>
      </c>
      <c r="J92" s="14">
        <f>FR3_SI!J123</f>
        <v>2</v>
      </c>
      <c r="K92" s="15">
        <f>FR3_SI!D121</f>
        <v>0</v>
      </c>
      <c r="L92" s="12" t="s">
        <v>104</v>
      </c>
      <c r="M92" s="12" t="str">
        <f>FR3_SI!A120</f>
        <v>EDR</v>
      </c>
      <c r="N92" s="14" t="str">
        <f>FR3_SI!B120</f>
        <v>3.13</v>
      </c>
      <c r="O92" s="12" t="s">
        <v>105</v>
      </c>
      <c r="P92" s="12" t="str">
        <f t="shared" si="7"/>
        <v>3.13 EDR</v>
      </c>
    </row>
    <row r="93" spans="1:16" ht="43.5" x14ac:dyDescent="0.35">
      <c r="A93" s="12">
        <v>92</v>
      </c>
      <c r="B93" s="12" t="str">
        <f t="shared" si="6"/>
        <v>IEC 62443-4-2 - 3.13 HDR</v>
      </c>
      <c r="C93" s="14" t="str">
        <f>FR3_SI!D127</f>
        <v>Supported</v>
      </c>
      <c r="D93" s="12" t="s">
        <v>102</v>
      </c>
      <c r="E93" s="14" t="str">
        <f t="shared" si="8"/>
        <v>FR 3 - System integrity (SI)</v>
      </c>
      <c r="F93" s="14" t="s">
        <v>159</v>
      </c>
      <c r="G93" s="12" t="str">
        <f t="shared" si="9"/>
        <v>n/a</v>
      </c>
      <c r="H93" s="14" t="str">
        <f>FR3_SI!C124</f>
        <v>Provisioning asset owner roots of trust</v>
      </c>
      <c r="I93" s="15" t="str">
        <f>FR3_SI!C125</f>
        <v xml:space="preserve">Host devices shall 
a) provide the capability to provision and protect the confidentiality, integrity, and authenticity of asset owner keys and data to be used as “roots of trust” </v>
      </c>
      <c r="J93" s="14">
        <f>FR3_SI!J127</f>
        <v>2</v>
      </c>
      <c r="K93" s="15">
        <f>FR3_SI!D125</f>
        <v>0</v>
      </c>
      <c r="L93" s="12" t="s">
        <v>104</v>
      </c>
      <c r="M93" s="12" t="str">
        <f>FR3_SI!A124</f>
        <v>HDR</v>
      </c>
      <c r="N93" s="14" t="str">
        <f>FR3_SI!B124</f>
        <v>3.13</v>
      </c>
      <c r="O93" s="12" t="s">
        <v>105</v>
      </c>
      <c r="P93" s="12" t="str">
        <f t="shared" si="7"/>
        <v>3.13 HDR</v>
      </c>
    </row>
    <row r="94" spans="1:16" ht="43.5" x14ac:dyDescent="0.35">
      <c r="A94" s="12">
        <v>93</v>
      </c>
      <c r="B94" s="12" t="str">
        <f t="shared" si="6"/>
        <v>IEC 62443-4-2 - 3.13 NDR</v>
      </c>
      <c r="C94" s="14">
        <f>FR3_SI!D131</f>
        <v>0</v>
      </c>
      <c r="D94" s="12" t="s">
        <v>102</v>
      </c>
      <c r="E94" s="14" t="str">
        <f t="shared" si="8"/>
        <v>FR 3 - System integrity (SI)</v>
      </c>
      <c r="F94" s="14" t="s">
        <v>160</v>
      </c>
      <c r="G94" s="12" t="str">
        <f t="shared" si="9"/>
        <v>n/a</v>
      </c>
      <c r="H94" s="14" t="str">
        <f>FR3_SI!C128</f>
        <v>Provisioning asset owner roots of trust</v>
      </c>
      <c r="I94" s="15" t="str">
        <f>FR3_SI!C129</f>
        <v>Network devices shall 
a) provide the capability to provision and protect the confidentiality, integrity, and authenticity of asset owner keys and data to be used as “roots of trust”</v>
      </c>
      <c r="J94" s="14">
        <f>FR3_SI!J131</f>
        <v>2</v>
      </c>
      <c r="K94" s="15">
        <f>FR3_SI!D129</f>
        <v>0</v>
      </c>
      <c r="L94" s="12" t="s">
        <v>104</v>
      </c>
      <c r="M94" s="12" t="str">
        <f>FR3_SI!A128</f>
        <v>NDR</v>
      </c>
      <c r="N94" s="14" t="str">
        <f>FR3_SI!B128</f>
        <v>3.13</v>
      </c>
      <c r="O94" s="12" t="s">
        <v>105</v>
      </c>
      <c r="P94" s="12" t="str">
        <f t="shared" si="7"/>
        <v>3.13 NDR</v>
      </c>
    </row>
    <row r="95" spans="1:16" ht="174" x14ac:dyDescent="0.35">
      <c r="A95" s="12">
        <v>94</v>
      </c>
      <c r="B95" s="12" t="str">
        <f t="shared" si="6"/>
        <v>IEC 62443-4-2 - 3.14 EDR</v>
      </c>
      <c r="C95" s="14" t="str">
        <f>FR3_SI!D136</f>
        <v>Supported with some restrictions/partly needs clarifications</v>
      </c>
      <c r="D95" s="12" t="s">
        <v>102</v>
      </c>
      <c r="E95" s="14" t="str">
        <f t="shared" si="8"/>
        <v>FR 3 - System integrity (SI)</v>
      </c>
      <c r="F95" s="14" t="s">
        <v>161</v>
      </c>
      <c r="G95" s="12" t="str">
        <f t="shared" si="9"/>
        <v>n/a</v>
      </c>
      <c r="H95" s="14" t="str">
        <f>FR3_SI!C132</f>
        <v>Integrity of the boot process</v>
      </c>
      <c r="I95" s="15" t="str">
        <f>FR3_SI!C133</f>
        <v>Embedded devices shall verify the integrity of the firmware needed for the component’s boot and runtime processes prior to use.</v>
      </c>
      <c r="J95" s="14">
        <f>FR3_SI!J136</f>
        <v>1</v>
      </c>
      <c r="K95" s="15" t="str">
        <f>FR3_SI!D133</f>
        <v>MCSR does not require secure boot for non Internet facing Solutions which is prerequisit for supplier root of trust</v>
      </c>
      <c r="L95" s="12" t="s">
        <v>104</v>
      </c>
      <c r="M95" s="12" t="str">
        <f>FR3_SI!A132</f>
        <v>EDR</v>
      </c>
      <c r="N95" s="14" t="str">
        <f>FR3_SI!B132</f>
        <v>3.14</v>
      </c>
      <c r="O95" s="12" t="s">
        <v>105</v>
      </c>
      <c r="P95" s="12" t="str">
        <f t="shared" si="7"/>
        <v>3.14 EDR</v>
      </c>
    </row>
    <row r="96" spans="1:16" ht="43.5" x14ac:dyDescent="0.35">
      <c r="A96" s="12">
        <v>95</v>
      </c>
      <c r="B96" s="12" t="str">
        <f t="shared" si="6"/>
        <v>IEC 62443-4-2 - 3.14.1 EDR RE</v>
      </c>
      <c r="C96" s="14">
        <f>FR3_SI!D139</f>
        <v>0</v>
      </c>
      <c r="D96" s="12" t="s">
        <v>102</v>
      </c>
      <c r="E96" s="14" t="str">
        <f t="shared" si="8"/>
        <v>FR 3 - System integrity (SI)</v>
      </c>
      <c r="F96" s="14" t="s">
        <v>161</v>
      </c>
      <c r="G96" s="12" t="str">
        <f t="shared" si="9"/>
        <v>RE(1)</v>
      </c>
      <c r="H96" s="14" t="str">
        <f>FR3_SI!C137</f>
        <v>Authenticity of the boot process</v>
      </c>
      <c r="I96" s="15" t="str">
        <f>FR3_SI!C138</f>
        <v>Embedded devices shall use the component’s product supplier roots of trust to verify the authenticity of the firmware, software, and configuration data needed for the component’s boot process prior to it being used in the boot process.</v>
      </c>
      <c r="J96" s="14">
        <f>FR3_SI!J139</f>
        <v>2</v>
      </c>
      <c r="K96" s="15">
        <f>FR3_SI!D138</f>
        <v>0</v>
      </c>
      <c r="L96" s="12" t="s">
        <v>104</v>
      </c>
      <c r="M96" s="12" t="str">
        <f>FR3_SI!A137</f>
        <v>EDR RE</v>
      </c>
      <c r="N96" s="14" t="str">
        <f>FR3_SI!B137</f>
        <v>3.14.1</v>
      </c>
      <c r="O96" s="12" t="s">
        <v>105</v>
      </c>
      <c r="P96" s="12" t="str">
        <f t="shared" si="7"/>
        <v>3.14 EDR</v>
      </c>
    </row>
    <row r="97" spans="1:16" ht="29" x14ac:dyDescent="0.35">
      <c r="A97" s="12">
        <v>96</v>
      </c>
      <c r="B97" s="12" t="str">
        <f t="shared" si="6"/>
        <v>IEC 62443-4-2 - 3.14 HDR</v>
      </c>
      <c r="C97" s="14">
        <f>FR3_SI!D144</f>
        <v>0</v>
      </c>
      <c r="D97" s="12" t="s">
        <v>102</v>
      </c>
      <c r="E97" s="14" t="str">
        <f t="shared" si="8"/>
        <v>FR 3 - System integrity (SI)</v>
      </c>
      <c r="F97" s="14" t="s">
        <v>162</v>
      </c>
      <c r="G97" s="12" t="str">
        <f t="shared" si="9"/>
        <v>n/a</v>
      </c>
      <c r="H97" s="14" t="str">
        <f>FR3_SI!C140</f>
        <v>Integrity of the boot process</v>
      </c>
      <c r="I97" s="15" t="str">
        <f>FR3_SI!C141</f>
        <v>Host devices shall verify the integrity of the firmware  needed for component’s boot process prior to it being used in the boot process.</v>
      </c>
      <c r="J97" s="14">
        <f>FR3_SI!J144</f>
        <v>1</v>
      </c>
      <c r="K97" s="15">
        <f>FR3_SI!D141</f>
        <v>0</v>
      </c>
      <c r="L97" s="12" t="s">
        <v>104</v>
      </c>
      <c r="M97" s="12" t="str">
        <f>FR3_SI!A140</f>
        <v>HDR</v>
      </c>
      <c r="N97" s="14" t="str">
        <f>FR3_SI!B140</f>
        <v>3.14</v>
      </c>
      <c r="O97" s="12" t="s">
        <v>105</v>
      </c>
      <c r="P97" s="12" t="str">
        <f t="shared" si="7"/>
        <v>3.14 HDR</v>
      </c>
    </row>
    <row r="98" spans="1:16" ht="43.5" x14ac:dyDescent="0.35">
      <c r="A98" s="12">
        <v>97</v>
      </c>
      <c r="B98" s="12" t="str">
        <f t="shared" ref="B98:B126" si="10">CONCATENATE(L98," - ",N98," ",M98)</f>
        <v>IEC 62443-4-2 - 3.14.1 HDR RE</v>
      </c>
      <c r="C98" s="14">
        <f>FR3_SI!D147</f>
        <v>0</v>
      </c>
      <c r="D98" s="12" t="s">
        <v>102</v>
      </c>
      <c r="E98" s="14" t="str">
        <f t="shared" si="8"/>
        <v>FR 3 - System integrity (SI)</v>
      </c>
      <c r="F98" s="14" t="s">
        <v>162</v>
      </c>
      <c r="G98" s="12" t="str">
        <f t="shared" si="9"/>
        <v>RE(1)</v>
      </c>
      <c r="H98" s="14" t="str">
        <f>FR3_SI!C145</f>
        <v>Authenticity of boot process</v>
      </c>
      <c r="I98" s="15" t="str">
        <f>FR3_SI!C146</f>
        <v>Host devices shall use the component’s product supplier roots of trust to verify the authenticity of the firmware, software, and configuration data needed for component’s boot process prior to it being used in the boot process.</v>
      </c>
      <c r="J98" s="14">
        <f>FR3_SI!J147</f>
        <v>2</v>
      </c>
      <c r="K98" s="15">
        <f>FR3_SI!D146</f>
        <v>0</v>
      </c>
      <c r="L98" s="12" t="s">
        <v>104</v>
      </c>
      <c r="M98" s="12" t="str">
        <f>FR3_SI!A145</f>
        <v>HDR RE</v>
      </c>
      <c r="N98" s="14" t="str">
        <f>FR3_SI!B145</f>
        <v>3.14.1</v>
      </c>
      <c r="O98" s="12" t="s">
        <v>105</v>
      </c>
      <c r="P98" s="12" t="str">
        <f t="shared" ref="P98:P126" si="11">IF(ISNUMBER(SEARCH(" ",M98)),CONCATENATE(MID(N98,1,LEN(N98)-2)," ",LEFT(M98,FIND(" ",M98)-1)),CONCATENATE(N98," ",M98))</f>
        <v>3.14 HDR</v>
      </c>
    </row>
    <row r="99" spans="1:16" ht="29" x14ac:dyDescent="0.35">
      <c r="A99" s="12">
        <v>98</v>
      </c>
      <c r="B99" s="12" t="str">
        <f t="shared" si="10"/>
        <v>IEC 62443-4-2 - 3.14 NDR</v>
      </c>
      <c r="C99" s="14">
        <f>FR3_SI!D152</f>
        <v>0</v>
      </c>
      <c r="D99" s="12" t="s">
        <v>102</v>
      </c>
      <c r="E99" s="14" t="str">
        <f t="shared" si="8"/>
        <v>FR 3 - System integrity (SI)</v>
      </c>
      <c r="F99" s="14" t="s">
        <v>163</v>
      </c>
      <c r="G99" s="12" t="str">
        <f t="shared" si="9"/>
        <v>n/a</v>
      </c>
      <c r="H99" s="14" t="str">
        <f>FR3_SI!C148</f>
        <v>Integrity of the boot process</v>
      </c>
      <c r="I99" s="15" t="str">
        <f>FR3_SI!C149</f>
        <v>Network devices shall verify the integrity of the firmware needed for the component’s boot and runtime processes prior to use.</v>
      </c>
      <c r="J99" s="14">
        <f>FR3_SI!J152</f>
        <v>1</v>
      </c>
      <c r="K99" s="15">
        <f>FR3_SI!D149</f>
        <v>0</v>
      </c>
      <c r="L99" s="12" t="s">
        <v>104</v>
      </c>
      <c r="M99" s="12" t="str">
        <f>FR3_SI!A148</f>
        <v>NDR</v>
      </c>
      <c r="N99" s="14" t="str">
        <f>FR3_SI!B148</f>
        <v>3.14</v>
      </c>
      <c r="O99" s="12" t="s">
        <v>105</v>
      </c>
      <c r="P99" s="12" t="str">
        <f t="shared" si="11"/>
        <v>3.14 NDR</v>
      </c>
    </row>
    <row r="100" spans="1:16" ht="43.5" x14ac:dyDescent="0.35">
      <c r="A100" s="12">
        <v>99</v>
      </c>
      <c r="B100" s="12" t="str">
        <f t="shared" si="10"/>
        <v>IEC 62443-4-2 - 3.14.1 NDR RE</v>
      </c>
      <c r="C100" s="14">
        <f>FR3_SI!D155</f>
        <v>0</v>
      </c>
      <c r="D100" s="12" t="s">
        <v>102</v>
      </c>
      <c r="E100" s="14" t="str">
        <f t="shared" si="8"/>
        <v>FR 3 - System integrity (SI)</v>
      </c>
      <c r="F100" s="14" t="s">
        <v>163</v>
      </c>
      <c r="G100" s="12" t="str">
        <f t="shared" si="9"/>
        <v>RE(1)</v>
      </c>
      <c r="H100" s="14" t="str">
        <f>FR3_SI!C153</f>
        <v>Authenticity of boot process</v>
      </c>
      <c r="I100" s="15" t="str">
        <f>FR3_SI!C154</f>
        <v>Network devices shall use the component’s product supplier roots of trust to verity the authenticity of the firmware, software, and configuration data needed for component’s boot process prior to it being used in the boot process.</v>
      </c>
      <c r="J100" s="14">
        <f>FR3_SI!J155</f>
        <v>2</v>
      </c>
      <c r="K100" s="15">
        <f>FR3_SI!D154</f>
        <v>0</v>
      </c>
      <c r="L100" s="12" t="s">
        <v>104</v>
      </c>
      <c r="M100" s="12" t="str">
        <f>FR3_SI!A153</f>
        <v>NDR RE</v>
      </c>
      <c r="N100" s="14" t="str">
        <f>FR3_SI!B153</f>
        <v>3.14.1</v>
      </c>
      <c r="O100" s="12" t="s">
        <v>105</v>
      </c>
      <c r="P100" s="12" t="str">
        <f t="shared" si="11"/>
        <v>3.14 NDR</v>
      </c>
    </row>
    <row r="101" spans="1:16" ht="116" x14ac:dyDescent="0.35">
      <c r="A101" s="12">
        <v>100</v>
      </c>
      <c r="B101" s="12" t="str">
        <f t="shared" si="10"/>
        <v>IEC 62443-4-2 - 4.1 CR</v>
      </c>
      <c r="C101" s="14" t="str">
        <f>FR4_DC!D12</f>
        <v>Supported with some restrictions/partly needs clarifications</v>
      </c>
      <c r="D101" s="12" t="s">
        <v>102</v>
      </c>
      <c r="E101" s="14" t="str">
        <f>FR4_DC!A$7</f>
        <v>FR 4 - Data confidentiality (DC)</v>
      </c>
      <c r="F101" s="14" t="s">
        <v>164</v>
      </c>
      <c r="G101" s="12" t="str">
        <f t="shared" si="9"/>
        <v>n/a</v>
      </c>
      <c r="H101" s="14" t="str">
        <f>FR4_DC!C9</f>
        <v>Information confidentiality</v>
      </c>
      <c r="I101" s="15" t="str">
        <f>FR4_DC!C10</f>
        <v>Components shall 
a) provide the capability to protect the confidentiality of information at rest for which explicit read authorization is supported</v>
      </c>
      <c r="J101" s="14">
        <f>FR4_DC!J12</f>
        <v>1</v>
      </c>
      <c r="K101" s="15" t="str">
        <f>FR4_DC!D10</f>
        <v>MCSR for products only covers b, MCSR IFS also cover In Transit, at rest and in use.</v>
      </c>
      <c r="L101" s="12" t="s">
        <v>104</v>
      </c>
      <c r="M101" s="12" t="str">
        <f>FR4_DC!A9</f>
        <v>CR</v>
      </c>
      <c r="N101" s="14" t="str">
        <f>FR4_DC!B9</f>
        <v>4.1</v>
      </c>
      <c r="O101" s="12" t="s">
        <v>105</v>
      </c>
      <c r="P101" s="12" t="str">
        <f t="shared" si="11"/>
        <v>4.1 CR</v>
      </c>
    </row>
    <row r="102" spans="1:16" ht="43.5" x14ac:dyDescent="0.35">
      <c r="A102" s="12">
        <v>101</v>
      </c>
      <c r="B102" s="12" t="str">
        <f t="shared" si="10"/>
        <v>IEC 62443-4-2 - 4.2 CR</v>
      </c>
      <c r="C102" s="14">
        <f>FR4_DC!D15</f>
        <v>0</v>
      </c>
      <c r="D102" s="12" t="s">
        <v>102</v>
      </c>
      <c r="E102" s="14" t="str">
        <f t="shared" si="8"/>
        <v>FR 4 - Data confidentiality (DC)</v>
      </c>
      <c r="F102" s="14" t="s">
        <v>165</v>
      </c>
      <c r="G102" s="12" t="str">
        <f t="shared" si="9"/>
        <v>n/a</v>
      </c>
      <c r="H102" s="14" t="str">
        <f>FR4_DC!C13</f>
        <v>Information persistence</v>
      </c>
      <c r="I102" s="15" t="str">
        <f>FR4_DC!C14</f>
        <v>Components shall provide the capability to erase all information for which explicit read authorization is supported from components to be released from active service and/or decommissioned.</v>
      </c>
      <c r="J102" s="14">
        <f>FR4_DC!J15</f>
        <v>2</v>
      </c>
      <c r="K102" s="15">
        <f>FR4_DC!D14</f>
        <v>0</v>
      </c>
      <c r="L102" s="12" t="s">
        <v>104</v>
      </c>
      <c r="M102" s="12" t="str">
        <f>FR4_DC!A13</f>
        <v>CR</v>
      </c>
      <c r="N102" s="14" t="str">
        <f>FR4_DC!B13</f>
        <v>4.2</v>
      </c>
      <c r="O102" s="12" t="s">
        <v>105</v>
      </c>
      <c r="P102" s="12" t="str">
        <f t="shared" si="11"/>
        <v>4.2 CR</v>
      </c>
    </row>
    <row r="103" spans="1:16" ht="130.5" x14ac:dyDescent="0.35">
      <c r="A103" s="12">
        <v>102</v>
      </c>
      <c r="B103" s="12" t="str">
        <f t="shared" si="10"/>
        <v>IEC 62443-4-2 - 4.2.1 CR RE</v>
      </c>
      <c r="C103" s="14">
        <f>FR4_DC!D18</f>
        <v>0</v>
      </c>
      <c r="D103" s="12" t="s">
        <v>102</v>
      </c>
      <c r="E103" s="14" t="str">
        <f t="shared" si="8"/>
        <v>FR 4 - Data confidentiality (DC)</v>
      </c>
      <c r="F103" s="14" t="s">
        <v>165</v>
      </c>
      <c r="G103" s="12" t="str">
        <f t="shared" si="9"/>
        <v>RE(1)</v>
      </c>
      <c r="H103" s="14" t="str">
        <f>FR4_DC!C16</f>
        <v>Erase of shared memory resources</v>
      </c>
      <c r="I103" s="15" t="str">
        <f>FR4_DC!C17</f>
        <v>Components shall provide the capability to protect against unauthorized and unintended information transfer via volatile shared memory resources. 
Volatile memory resources are those that generally do not retain information after being released to memory management. However, there are attacks against random access memory (RAM) which might extract key material or other confidential data before it is actually over-written. Therefore, when volatile shared memory is released back to the control system for use by a different user, all unique data and connections to unique data need to be purged from the resource so it is not visible or accessible to the new user.</v>
      </c>
      <c r="J103" s="14">
        <f>FR4_DC!J18</f>
        <v>3</v>
      </c>
      <c r="K103" s="15">
        <f>FR4_DC!D17</f>
        <v>0</v>
      </c>
      <c r="L103" s="12" t="s">
        <v>104</v>
      </c>
      <c r="M103" s="12" t="str">
        <f>FR4_DC!A16</f>
        <v>CR RE</v>
      </c>
      <c r="N103" s="14" t="str">
        <f>FR4_DC!B16</f>
        <v>4.2.1</v>
      </c>
      <c r="O103" s="12" t="s">
        <v>105</v>
      </c>
      <c r="P103" s="12" t="str">
        <f t="shared" si="11"/>
        <v>4.2 CR</v>
      </c>
    </row>
    <row r="104" spans="1:16" ht="29" x14ac:dyDescent="0.35">
      <c r="A104" s="12">
        <v>103</v>
      </c>
      <c r="B104" s="12" t="str">
        <f t="shared" si="10"/>
        <v>IEC 62443-4-2 - 4.2.2 CR RE</v>
      </c>
      <c r="C104" s="14">
        <f>FR4_DC!D21</f>
        <v>0</v>
      </c>
      <c r="D104" s="12" t="s">
        <v>102</v>
      </c>
      <c r="E104" s="14" t="str">
        <f t="shared" si="8"/>
        <v>FR 4 - Data confidentiality (DC)</v>
      </c>
      <c r="F104" s="14" t="s">
        <v>165</v>
      </c>
      <c r="G104" s="12" t="str">
        <f t="shared" si="9"/>
        <v>RE(2)</v>
      </c>
      <c r="H104" s="14" t="str">
        <f>FR4_DC!C19</f>
        <v>Erase verification</v>
      </c>
      <c r="I104" s="15" t="str">
        <f>FR4_DC!C20</f>
        <v>Components shall provide the capability to verify that the erasure of information occurred.</v>
      </c>
      <c r="J104" s="14">
        <f>FR4_DC!J21</f>
        <v>3</v>
      </c>
      <c r="K104" s="15">
        <f>FR4_DC!D20</f>
        <v>0</v>
      </c>
      <c r="L104" s="12" t="s">
        <v>104</v>
      </c>
      <c r="M104" s="12" t="str">
        <f>FR4_DC!A19</f>
        <v>CR RE</v>
      </c>
      <c r="N104" s="14" t="str">
        <f>FR4_DC!B19</f>
        <v>4.2.2</v>
      </c>
      <c r="O104" s="12" t="s">
        <v>105</v>
      </c>
      <c r="P104" s="12" t="str">
        <f t="shared" si="11"/>
        <v>4.2 CR</v>
      </c>
    </row>
    <row r="105" spans="1:16" ht="43.5" x14ac:dyDescent="0.35">
      <c r="A105" s="12">
        <v>104</v>
      </c>
      <c r="B105" s="12" t="str">
        <f t="shared" si="10"/>
        <v>IEC 62443-4-2 - 4.3 CR</v>
      </c>
      <c r="C105" s="14" t="str">
        <f>FR4_DC!D24</f>
        <v>Supported</v>
      </c>
      <c r="D105" s="12" t="s">
        <v>102</v>
      </c>
      <c r="E105" s="14" t="str">
        <f t="shared" si="8"/>
        <v>FR 4 - Data confidentiality (DC)</v>
      </c>
      <c r="F105" s="14" t="s">
        <v>166</v>
      </c>
      <c r="G105" s="12" t="str">
        <f t="shared" si="9"/>
        <v>n/a</v>
      </c>
      <c r="H105" s="14" t="str">
        <f>FR4_DC!C22</f>
        <v>Use of cryptography</v>
      </c>
      <c r="I105" s="15" t="str">
        <f>FR4_DC!C23</f>
        <v>If cryptography is required, the component shall use cryptographic security mechanisms according to internationally recognized and proven security practices and recommendations.</v>
      </c>
      <c r="J105" s="14">
        <f>FR4_DC!J24</f>
        <v>1</v>
      </c>
      <c r="K105" s="15">
        <f>FR4_DC!D23</f>
        <v>0</v>
      </c>
      <c r="L105" s="12" t="s">
        <v>104</v>
      </c>
      <c r="M105" s="12" t="str">
        <f>FR4_DC!A22</f>
        <v>CR</v>
      </c>
      <c r="N105" s="14" t="str">
        <f>FR4_DC!B22</f>
        <v>4.3</v>
      </c>
      <c r="O105" s="12" t="s">
        <v>105</v>
      </c>
      <c r="P105" s="12" t="str">
        <f t="shared" si="11"/>
        <v>4.3 CR</v>
      </c>
    </row>
    <row r="106" spans="1:16" ht="43.5" x14ac:dyDescent="0.35">
      <c r="A106" s="12">
        <v>105</v>
      </c>
      <c r="B106" s="12" t="str">
        <f t="shared" si="10"/>
        <v>IEC 62443-4-2 - 5.1 CR</v>
      </c>
      <c r="C106" s="14">
        <f>FR5_RDF!D11</f>
        <v>0</v>
      </c>
      <c r="D106" s="12" t="s">
        <v>102</v>
      </c>
      <c r="E106" s="14" t="str">
        <f>FR5_RDF!A$7</f>
        <v>FR 5 - Restricted data flow (RDF)</v>
      </c>
      <c r="F106" s="14" t="s">
        <v>167</v>
      </c>
      <c r="G106" s="12" t="str">
        <f t="shared" si="9"/>
        <v>n/a</v>
      </c>
      <c r="H106" s="14" t="str">
        <f>FR5_RDF!C9</f>
        <v>Network segmentation</v>
      </c>
      <c r="I106" s="15" t="str">
        <f>FR5_RDF!C10</f>
        <v>Components shall support a segmented network to support zones and conduits as needed, to support the broader network architecture based on logical segmentation and criticality.</v>
      </c>
      <c r="J106" s="14">
        <f>FR5_RDF!J11</f>
        <v>1</v>
      </c>
      <c r="K106" s="15">
        <f>FR5_RDF!D10</f>
        <v>0</v>
      </c>
      <c r="L106" s="12" t="s">
        <v>104</v>
      </c>
      <c r="M106" s="12" t="str">
        <f>FR5_RDF!A9</f>
        <v>CR</v>
      </c>
      <c r="N106" s="14" t="str">
        <f>FR5_RDF!B9</f>
        <v>5.1</v>
      </c>
      <c r="O106" s="12" t="s">
        <v>105</v>
      </c>
      <c r="P106" s="12" t="str">
        <f t="shared" si="11"/>
        <v>5.1 CR</v>
      </c>
    </row>
    <row r="107" spans="1:16" ht="43.5" x14ac:dyDescent="0.35">
      <c r="A107" s="12">
        <v>106</v>
      </c>
      <c r="B107" s="12" t="str">
        <f t="shared" si="10"/>
        <v>IEC 62443-4-2 - 5.2 NDR</v>
      </c>
      <c r="C107" s="14">
        <f>FR5_RDF!D14</f>
        <v>0</v>
      </c>
      <c r="D107" s="12" t="s">
        <v>102</v>
      </c>
      <c r="E107" s="14" t="str">
        <f t="shared" si="8"/>
        <v>FR 5 - Restricted data flow (RDF)</v>
      </c>
      <c r="F107" s="14" t="s">
        <v>168</v>
      </c>
      <c r="G107" s="12" t="str">
        <f t="shared" si="9"/>
        <v>n/a</v>
      </c>
      <c r="H107" s="14" t="str">
        <f>FR5_RDF!C12</f>
        <v>Zone boundary protection</v>
      </c>
      <c r="I107" s="15" t="str">
        <f>FR5_RDF!C13</f>
        <v>A network device at a zone boundary shall provide the capability to monitor and control communications at zone boundaries to enforce the compartmentalization defined in the risk-based zones and conduits model.</v>
      </c>
      <c r="J107" s="14">
        <f>FR5_RDF!J14</f>
        <v>1</v>
      </c>
      <c r="K107" s="15">
        <f>FR5_RDF!D13</f>
        <v>0</v>
      </c>
      <c r="L107" s="12" t="s">
        <v>104</v>
      </c>
      <c r="M107" s="12" t="str">
        <f>FR5_RDF!A12</f>
        <v>NDR</v>
      </c>
      <c r="N107" s="14" t="str">
        <f>FR5_RDF!B12</f>
        <v>5.2</v>
      </c>
      <c r="O107" s="12" t="s">
        <v>105</v>
      </c>
      <c r="P107" s="12" t="str">
        <f t="shared" si="11"/>
        <v>5.2 NDR</v>
      </c>
    </row>
    <row r="108" spans="1:16" ht="43.5" x14ac:dyDescent="0.35">
      <c r="A108" s="12">
        <v>107</v>
      </c>
      <c r="B108" s="12" t="str">
        <f t="shared" si="10"/>
        <v>IEC 62443-4-2 - 5.2.1 NDR RE</v>
      </c>
      <c r="C108" s="14">
        <f>FR5_RDF!D17</f>
        <v>0</v>
      </c>
      <c r="D108" s="12" t="s">
        <v>102</v>
      </c>
      <c r="E108" s="14" t="str">
        <f t="shared" si="8"/>
        <v>FR 5 - Restricted data flow (RDF)</v>
      </c>
      <c r="F108" s="14" t="s">
        <v>168</v>
      </c>
      <c r="G108" s="12" t="str">
        <f t="shared" si="9"/>
        <v>RE(1)</v>
      </c>
      <c r="H108" s="14" t="str">
        <f>FR5_RDF!C15</f>
        <v>Deny all, permit by exception</v>
      </c>
      <c r="I108" s="15" t="str">
        <f>FR5_RDF!C16</f>
        <v>The network component shall provide the capability to deny network traffic by default and allow network traffic by exception (also termed deny all, permit by exception).</v>
      </c>
      <c r="J108" s="14">
        <f>FR5_RDF!J17</f>
        <v>2</v>
      </c>
      <c r="K108" s="15">
        <f>FR5_RDF!D16</f>
        <v>0</v>
      </c>
      <c r="L108" s="12" t="s">
        <v>104</v>
      </c>
      <c r="M108" s="12" t="str">
        <f>FR5_RDF!A15</f>
        <v>NDR RE</v>
      </c>
      <c r="N108" s="14" t="str">
        <f>FR5_RDF!B15</f>
        <v>5.2.1</v>
      </c>
      <c r="O108" s="12" t="s">
        <v>105</v>
      </c>
      <c r="P108" s="12" t="str">
        <f t="shared" si="11"/>
        <v>5.2 NDR</v>
      </c>
    </row>
    <row r="109" spans="1:16" ht="87" x14ac:dyDescent="0.35">
      <c r="A109" s="12">
        <v>108</v>
      </c>
      <c r="B109" s="12" t="str">
        <f t="shared" si="10"/>
        <v>IEC 62443-4-2 - 5.2.2 NDR RE</v>
      </c>
      <c r="C109" s="14">
        <f>FR5_RDF!D20</f>
        <v>0</v>
      </c>
      <c r="D109" s="12" t="s">
        <v>102</v>
      </c>
      <c r="E109" s="14" t="str">
        <f t="shared" si="8"/>
        <v>FR 5 - Restricted data flow (RDF)</v>
      </c>
      <c r="F109" s="14" t="s">
        <v>168</v>
      </c>
      <c r="G109" s="12" t="str">
        <f t="shared" si="9"/>
        <v>RE(2)</v>
      </c>
      <c r="H109" s="14" t="str">
        <f>FR5_RDF!C18</f>
        <v>Island mode</v>
      </c>
      <c r="I109" s="15" t="str">
        <f>FR5_RDF!C19</f>
        <v xml:space="preserve">The network component shall provide the capability to protect against any communication through the control system boundary (also termed island mode). 
NOTE 1  Examples of when this capability may be used include where a security violation and/or breach has been detected within the control system, or an attack is occurring at the enterprise level.
</v>
      </c>
      <c r="J109" s="14">
        <f>FR5_RDF!J20</f>
        <v>3</v>
      </c>
      <c r="K109" s="15">
        <f>FR5_RDF!D19</f>
        <v>0</v>
      </c>
      <c r="L109" s="12" t="s">
        <v>104</v>
      </c>
      <c r="M109" s="12" t="str">
        <f>FR5_RDF!A18</f>
        <v>NDR RE</v>
      </c>
      <c r="N109" s="14" t="str">
        <f>FR5_RDF!B18</f>
        <v>5.2.2</v>
      </c>
      <c r="O109" s="12" t="s">
        <v>105</v>
      </c>
      <c r="P109" s="12" t="str">
        <f t="shared" si="11"/>
        <v>5.2 NDR</v>
      </c>
    </row>
    <row r="110" spans="1:16" ht="87" x14ac:dyDescent="0.35">
      <c r="A110" s="12">
        <v>109</v>
      </c>
      <c r="B110" s="12" t="str">
        <f t="shared" si="10"/>
        <v>IEC 62443-4-2 - 5.2.3 NDR RE</v>
      </c>
      <c r="C110" s="14">
        <f>FR5_RDF!D23</f>
        <v>0</v>
      </c>
      <c r="D110" s="12" t="s">
        <v>102</v>
      </c>
      <c r="E110" s="14" t="str">
        <f t="shared" si="8"/>
        <v>FR 5 - Restricted data flow (RDF)</v>
      </c>
      <c r="F110" s="14" t="s">
        <v>168</v>
      </c>
      <c r="G110" s="12" t="str">
        <f t="shared" si="9"/>
        <v>RE(3)</v>
      </c>
      <c r="H110" s="14" t="str">
        <f>FR5_RDF!C21</f>
        <v>Fail close</v>
      </c>
      <c r="I110" s="15" t="str">
        <f>FR5_RDF!C22</f>
        <v>The network component shall provide the capability to protect against any communication through the control system boundary when there is an operational failure of the boundary protection mechanisms (also termed fail close).
NOTE 2  Examples of when this capability may be used include scenarios where a hardware failure or power failure causes boundary protection devices to function in a degraded mode or fail entirely.</v>
      </c>
      <c r="J110" s="14">
        <f>FR5_RDF!J23</f>
        <v>3</v>
      </c>
      <c r="K110" s="15">
        <f>FR5_RDF!D22</f>
        <v>0</v>
      </c>
      <c r="L110" s="12" t="s">
        <v>104</v>
      </c>
      <c r="M110" s="12" t="str">
        <f>FR5_RDF!A21</f>
        <v>NDR RE</v>
      </c>
      <c r="N110" s="14" t="str">
        <f>FR5_RDF!B21</f>
        <v>5.2.3</v>
      </c>
      <c r="O110" s="12" t="s">
        <v>105</v>
      </c>
      <c r="P110" s="12" t="str">
        <f t="shared" si="11"/>
        <v>5.2 NDR</v>
      </c>
    </row>
    <row r="111" spans="1:16" ht="43.5" x14ac:dyDescent="0.35">
      <c r="A111" s="12">
        <v>110</v>
      </c>
      <c r="B111" s="12" t="str">
        <f t="shared" si="10"/>
        <v>IEC 62443-4-2 - 5.3 NDR</v>
      </c>
      <c r="C111" s="14">
        <f>FR5_RDF!D26</f>
        <v>0</v>
      </c>
      <c r="D111" s="12" t="s">
        <v>102</v>
      </c>
      <c r="E111" s="14" t="str">
        <f t="shared" si="8"/>
        <v>FR 5 - Restricted data flow (RDF)</v>
      </c>
      <c r="F111" s="14" t="s">
        <v>169</v>
      </c>
      <c r="G111" s="12" t="str">
        <f t="shared" si="9"/>
        <v>n/a</v>
      </c>
      <c r="H111" s="14" t="str">
        <f>FR5_RDF!C24</f>
        <v>General, person-to-person communication restrictions</v>
      </c>
      <c r="I111" s="15" t="str">
        <f>FR5_RDF!C25</f>
        <v>A network device at a zone boundary shall provide the capability to protect against general purpose, person-to-person messages from being received from users or systems external to the control system.</v>
      </c>
      <c r="J111" s="14">
        <f>FR5_RDF!J26</f>
        <v>1</v>
      </c>
      <c r="K111" s="15">
        <f>FR5_RDF!D25</f>
        <v>0</v>
      </c>
      <c r="L111" s="12" t="s">
        <v>104</v>
      </c>
      <c r="M111" s="12" t="str">
        <f>FR5_RDF!A24</f>
        <v>NDR</v>
      </c>
      <c r="N111" s="14" t="str">
        <f>FR5_RDF!B24</f>
        <v>5.3</v>
      </c>
      <c r="O111" s="12" t="s">
        <v>105</v>
      </c>
      <c r="P111" s="12" t="str">
        <f t="shared" si="11"/>
        <v>5.3 NDR</v>
      </c>
    </row>
    <row r="112" spans="1:16" x14ac:dyDescent="0.35">
      <c r="A112" s="12">
        <v>111</v>
      </c>
      <c r="B112" s="12" t="str">
        <f t="shared" si="10"/>
        <v>IEC 62443-4-2 - 5.4 CR</v>
      </c>
      <c r="C112" s="14">
        <f>FR5_RDF!D29</f>
        <v>0</v>
      </c>
      <c r="D112" s="12" t="s">
        <v>102</v>
      </c>
      <c r="E112" s="14" t="str">
        <f t="shared" si="8"/>
        <v>FR 5 - Restricted data flow (RDF)</v>
      </c>
      <c r="F112" s="14" t="s">
        <v>170</v>
      </c>
      <c r="G112" s="12" t="str">
        <f t="shared" si="9"/>
        <v>n/a</v>
      </c>
      <c r="H112" s="14" t="str">
        <f>FR5_RDF!C27</f>
        <v>Application partitioning</v>
      </c>
      <c r="I112" s="15" t="str">
        <f>FR5_RDF!C28</f>
        <v xml:space="preserve">There is no component level requirement associated with ISA‑62443‑3‑3 SR 5.4. </v>
      </c>
      <c r="J112" s="14">
        <f>FR5_RDF!J29</f>
        <v>0</v>
      </c>
      <c r="K112" s="15">
        <f>FR5_RDF!D28</f>
        <v>0</v>
      </c>
      <c r="L112" s="12" t="s">
        <v>104</v>
      </c>
      <c r="M112" s="12" t="str">
        <f>FR5_RDF!A27</f>
        <v>CR</v>
      </c>
      <c r="N112" s="14" t="str">
        <f>FR5_RDF!B27</f>
        <v>5.4</v>
      </c>
      <c r="O112" s="12" t="s">
        <v>105</v>
      </c>
      <c r="P112" s="12" t="str">
        <f t="shared" si="11"/>
        <v>5.4 CR</v>
      </c>
    </row>
    <row r="113" spans="1:16" ht="29" x14ac:dyDescent="0.35">
      <c r="A113" s="12">
        <v>112</v>
      </c>
      <c r="B113" s="12" t="str">
        <f t="shared" si="10"/>
        <v>IEC 62443-4-2 - 6.1 CR</v>
      </c>
      <c r="C113" s="14">
        <f>FR6_TRE!D11</f>
        <v>0</v>
      </c>
      <c r="D113" s="12" t="s">
        <v>102</v>
      </c>
      <c r="E113" s="14" t="str">
        <f>FR6_TRE!A$7</f>
        <v>FR 6 - Timely response to events (TRE)</v>
      </c>
      <c r="F113" s="14" t="s">
        <v>171</v>
      </c>
      <c r="G113" s="12" t="str">
        <f t="shared" si="9"/>
        <v>n/a</v>
      </c>
      <c r="H113" s="14" t="str">
        <f>FR6_TRE!C9</f>
        <v>Audit log accessibility</v>
      </c>
      <c r="I113" s="15" t="str">
        <f>FR6_TRE!C10</f>
        <v>Components shall provide the capability for authorized humans and/or tools to access audit logs on a read-only basis.</v>
      </c>
      <c r="J113" s="14">
        <f>FR6_TRE!J11</f>
        <v>1</v>
      </c>
      <c r="K113" s="15">
        <f>FR6_TRE!D10</f>
        <v>0</v>
      </c>
      <c r="L113" s="12" t="s">
        <v>104</v>
      </c>
      <c r="M113" s="12" t="str">
        <f>FR6_TRE!A9</f>
        <v>CR</v>
      </c>
      <c r="N113" s="14" t="str">
        <f>FR6_TRE!B9</f>
        <v>6.1</v>
      </c>
      <c r="O113" s="12" t="s">
        <v>105</v>
      </c>
      <c r="P113" s="12" t="str">
        <f t="shared" si="11"/>
        <v>6.1 CR</v>
      </c>
    </row>
    <row r="114" spans="1:16" ht="43.5" x14ac:dyDescent="0.35">
      <c r="A114" s="12">
        <v>113</v>
      </c>
      <c r="B114" s="12" t="str">
        <f t="shared" si="10"/>
        <v>IEC 62443-4-2 - 6.1.1 CR RE</v>
      </c>
      <c r="C114" s="14">
        <f>FR6_TRE!D14</f>
        <v>0</v>
      </c>
      <c r="D114" s="12" t="s">
        <v>102</v>
      </c>
      <c r="E114" s="14" t="str">
        <f t="shared" si="8"/>
        <v>FR 6 - Timely response to events (TRE)</v>
      </c>
      <c r="F114" s="14" t="s">
        <v>171</v>
      </c>
      <c r="G114" s="12" t="str">
        <f t="shared" si="9"/>
        <v>RE(1)</v>
      </c>
      <c r="H114" s="14" t="str">
        <f>FR6_TRE!C12</f>
        <v>Programmatic access to audit logs</v>
      </c>
      <c r="I114" s="15" t="str">
        <f>FR6_TRE!C13</f>
        <v>Components shall provide programmatic access to audit records by either using an application programming interface (API) or sending the audit records to a centralized system.</v>
      </c>
      <c r="J114" s="14">
        <f>FR6_TRE!J14</f>
        <v>3</v>
      </c>
      <c r="K114" s="15">
        <f>FR6_TRE!D13</f>
        <v>0</v>
      </c>
      <c r="L114" s="12" t="s">
        <v>104</v>
      </c>
      <c r="M114" s="12" t="str">
        <f>FR6_TRE!A12</f>
        <v>CR RE</v>
      </c>
      <c r="N114" s="14" t="str">
        <f>FR6_TRE!B12</f>
        <v>6.1.1</v>
      </c>
      <c r="O114" s="12" t="s">
        <v>105</v>
      </c>
      <c r="P114" s="12" t="str">
        <f t="shared" si="11"/>
        <v>6.1 CR</v>
      </c>
    </row>
    <row r="115" spans="1:16" ht="43.5" x14ac:dyDescent="0.35">
      <c r="A115" s="12">
        <v>114</v>
      </c>
      <c r="B115" s="12" t="str">
        <f t="shared" si="10"/>
        <v>IEC 62443-4-2 - 6.2 CR</v>
      </c>
      <c r="C115" s="14">
        <f>FR6_TRE!D17</f>
        <v>0</v>
      </c>
      <c r="D115" s="12" t="s">
        <v>102</v>
      </c>
      <c r="E115" s="14" t="str">
        <f t="shared" si="8"/>
        <v>FR 6 - Timely response to events (TRE)</v>
      </c>
      <c r="F115" s="14" t="s">
        <v>172</v>
      </c>
      <c r="G115" s="12" t="str">
        <f t="shared" si="9"/>
        <v>n/a</v>
      </c>
      <c r="H115" s="14" t="str">
        <f>FR6_TRE!C15</f>
        <v>Continuous monitoring</v>
      </c>
      <c r="I115" s="15" t="str">
        <f>FR6_TRE!C16</f>
        <v>Components shall provide the capability to be continuously monitored using commonly accepted security industry practices and recommendations to detect, characterize and report security breaches in a timely manner.</v>
      </c>
      <c r="J115" s="14">
        <f>FR6_TRE!J17</f>
        <v>2</v>
      </c>
      <c r="K115" s="15">
        <f>FR6_TRE!D16</f>
        <v>0</v>
      </c>
      <c r="L115" s="12" t="s">
        <v>104</v>
      </c>
      <c r="M115" s="12" t="str">
        <f>FR6_TRE!A15</f>
        <v>CR</v>
      </c>
      <c r="N115" s="14" t="str">
        <f>FR6_TRE!B15</f>
        <v>6.2</v>
      </c>
      <c r="O115" s="12" t="s">
        <v>105</v>
      </c>
      <c r="P115" s="12" t="str">
        <f t="shared" si="11"/>
        <v>6.2 CR</v>
      </c>
    </row>
    <row r="116" spans="1:16" ht="58" x14ac:dyDescent="0.35">
      <c r="A116" s="12">
        <v>115</v>
      </c>
      <c r="B116" s="12" t="str">
        <f t="shared" si="10"/>
        <v>IEC 62443-4-2 - 7.1 CR</v>
      </c>
      <c r="C116" s="14" t="str">
        <f>FR7_RA!D11</f>
        <v>Supported</v>
      </c>
      <c r="D116" s="12" t="s">
        <v>102</v>
      </c>
      <c r="E116" s="14" t="str">
        <f>FR7_RA!A$7</f>
        <v>FR 7 - Resource availability (RA)</v>
      </c>
      <c r="F116" s="14" t="s">
        <v>173</v>
      </c>
      <c r="G116" s="12" t="str">
        <f t="shared" si="9"/>
        <v>n/a</v>
      </c>
      <c r="H116" s="14" t="str">
        <f>FR7_RA!C9</f>
        <v>Denial of Service protection</v>
      </c>
      <c r="I116" s="15" t="str">
        <f>FR7_RA!C10</f>
        <v>Components shall provide the capability to maintain essential functions when operating in a degraded mode as the result of a DoS event.</v>
      </c>
      <c r="J116" s="14">
        <f>FR7_RA!J11</f>
        <v>1</v>
      </c>
      <c r="K116" s="15" t="str">
        <f>FR7_RA!D10</f>
        <v>Largely covered by DSAC testing</v>
      </c>
      <c r="L116" s="12" t="s">
        <v>104</v>
      </c>
      <c r="M116" s="12" t="str">
        <f>FR7_RA!A9</f>
        <v>CR</v>
      </c>
      <c r="N116" s="14" t="str">
        <f>FR7_RA!B9</f>
        <v>7.1</v>
      </c>
      <c r="O116" s="12" t="s">
        <v>105</v>
      </c>
      <c r="P116" s="12" t="str">
        <f t="shared" si="11"/>
        <v>7.1 CR</v>
      </c>
    </row>
    <row r="117" spans="1:16" ht="29" x14ac:dyDescent="0.35">
      <c r="A117" s="12">
        <v>116</v>
      </c>
      <c r="B117" s="12" t="str">
        <f t="shared" si="10"/>
        <v>IEC 62443-4-2 - 7.1.1 CR RE</v>
      </c>
      <c r="C117" s="14">
        <f>FR7_RA!D14</f>
        <v>0</v>
      </c>
      <c r="D117" s="12" t="s">
        <v>102</v>
      </c>
      <c r="E117" s="14" t="str">
        <f t="shared" si="8"/>
        <v>FR 7 - Resource availability (RA)</v>
      </c>
      <c r="F117" s="14" t="s">
        <v>173</v>
      </c>
      <c r="G117" s="12" t="str">
        <f t="shared" si="9"/>
        <v>RE(1)</v>
      </c>
      <c r="H117" s="14" t="str">
        <f>FR7_RA!C12</f>
        <v xml:space="preserve">(1) Manage communication load from component </v>
      </c>
      <c r="I117" s="15" t="str">
        <f>FR7_RA!C13</f>
        <v>Components shall provide the capability to mitigate the effects of information and/or message flooding types of DoS events.</v>
      </c>
      <c r="J117" s="14">
        <f>FR7_RA!J14</f>
        <v>2</v>
      </c>
      <c r="K117" s="15">
        <f>FR7_RA!D13</f>
        <v>0</v>
      </c>
      <c r="L117" s="12" t="s">
        <v>104</v>
      </c>
      <c r="M117" s="12" t="str">
        <f>FR7_RA!A12</f>
        <v>CR RE</v>
      </c>
      <c r="N117" s="14" t="str">
        <f>FR7_RA!B12</f>
        <v>7.1.1</v>
      </c>
      <c r="O117" s="12" t="s">
        <v>105</v>
      </c>
      <c r="P117" s="12" t="str">
        <f t="shared" si="11"/>
        <v>7.1 CR</v>
      </c>
    </row>
    <row r="118" spans="1:16" ht="29" x14ac:dyDescent="0.35">
      <c r="A118" s="12">
        <v>117</v>
      </c>
      <c r="B118" s="12" t="str">
        <f t="shared" si="10"/>
        <v>IEC 62443-4-2 - 7.2 CR</v>
      </c>
      <c r="C118" s="14">
        <f>FR7_RA!D17</f>
        <v>0</v>
      </c>
      <c r="D118" s="12" t="s">
        <v>102</v>
      </c>
      <c r="E118" s="14" t="str">
        <f t="shared" si="8"/>
        <v>FR 7 - Resource availability (RA)</v>
      </c>
      <c r="F118" s="14" t="s">
        <v>174</v>
      </c>
      <c r="G118" s="12" t="str">
        <f t="shared" si="9"/>
        <v>n/a</v>
      </c>
      <c r="H118" s="14" t="str">
        <f>FR7_RA!C15</f>
        <v>Resource management</v>
      </c>
      <c r="I118" s="15" t="str">
        <f>FR7_RA!C16</f>
        <v>Components shall provide the capability to limit the use of resources by security functions to protect against resource exhaustion.</v>
      </c>
      <c r="J118" s="14">
        <f>FR7_RA!J17</f>
        <v>1</v>
      </c>
      <c r="K118" s="15">
        <f>FR7_RA!D16</f>
        <v>0</v>
      </c>
      <c r="L118" s="12" t="s">
        <v>104</v>
      </c>
      <c r="M118" s="12" t="str">
        <f>FR7_RA!A15</f>
        <v>CR</v>
      </c>
      <c r="N118" s="14" t="str">
        <f>FR7_RA!B15</f>
        <v>7.2</v>
      </c>
      <c r="O118" s="12" t="s">
        <v>105</v>
      </c>
      <c r="P118" s="12" t="str">
        <f t="shared" si="11"/>
        <v>7.2 CR</v>
      </c>
    </row>
    <row r="119" spans="1:16" ht="58" x14ac:dyDescent="0.35">
      <c r="A119" s="12">
        <v>118</v>
      </c>
      <c r="B119" s="12" t="str">
        <f t="shared" si="10"/>
        <v>IEC 62443-4-2 - 7.3 CR</v>
      </c>
      <c r="C119" s="14">
        <f>FR7_RA!D20</f>
        <v>0</v>
      </c>
      <c r="D119" s="12" t="s">
        <v>102</v>
      </c>
      <c r="E119" s="14" t="str">
        <f t="shared" si="8"/>
        <v>FR 7 - Resource availability (RA)</v>
      </c>
      <c r="F119" s="14" t="s">
        <v>175</v>
      </c>
      <c r="G119" s="12" t="str">
        <f t="shared" si="9"/>
        <v>n/a</v>
      </c>
      <c r="H119" s="14" t="str">
        <f>FR7_RA!C18</f>
        <v>Control system backup</v>
      </c>
      <c r="I119" s="15" t="str">
        <f>FR7_RA!C19</f>
        <v>Components shall provide the capability to participate in system level backup operations in order to safeguard the component state (user- and system-level information). The backup process shall not affect the normal component operations.</v>
      </c>
      <c r="J119" s="14">
        <f>FR7_RA!J20</f>
        <v>1</v>
      </c>
      <c r="K119" s="15">
        <f>FR7_RA!D19</f>
        <v>0</v>
      </c>
      <c r="L119" s="12" t="s">
        <v>104</v>
      </c>
      <c r="M119" s="12" t="str">
        <f>FR7_RA!A18</f>
        <v>CR</v>
      </c>
      <c r="N119" s="14" t="str">
        <f>FR7_RA!B18</f>
        <v>7.3</v>
      </c>
      <c r="O119" s="12" t="s">
        <v>105</v>
      </c>
      <c r="P119" s="12" t="str">
        <f t="shared" si="11"/>
        <v>7.3 CR</v>
      </c>
    </row>
    <row r="120" spans="1:16" ht="29" x14ac:dyDescent="0.35">
      <c r="A120" s="12">
        <v>119</v>
      </c>
      <c r="B120" s="12" t="str">
        <f t="shared" si="10"/>
        <v>IEC 62443-4-2 - 7.3.1 CR RE</v>
      </c>
      <c r="C120" s="14">
        <f>FR7_RA!D23</f>
        <v>0</v>
      </c>
      <c r="D120" s="12" t="s">
        <v>102</v>
      </c>
      <c r="E120" s="14" t="str">
        <f t="shared" si="8"/>
        <v>FR 7 - Resource availability (RA)</v>
      </c>
      <c r="F120" s="14" t="s">
        <v>175</v>
      </c>
      <c r="G120" s="12" t="str">
        <f t="shared" si="9"/>
        <v>RE(1)</v>
      </c>
      <c r="H120" s="14" t="str">
        <f>FR7_RA!C21</f>
        <v>Backup integrity verification</v>
      </c>
      <c r="I120" s="15" t="str">
        <f>FR7_RA!C22</f>
        <v>Components shall provide the capability to validate the integrity of backed up information prior to the initiation of a restore of that information.</v>
      </c>
      <c r="J120" s="14">
        <f>FR7_RA!J23</f>
        <v>2</v>
      </c>
      <c r="K120" s="15">
        <f>FR7_RA!D22</f>
        <v>0</v>
      </c>
      <c r="L120" s="12" t="s">
        <v>104</v>
      </c>
      <c r="M120" s="12" t="str">
        <f>FR7_RA!A21</f>
        <v>CR RE</v>
      </c>
      <c r="N120" s="14" t="str">
        <f>FR7_RA!B21</f>
        <v>7.3.1</v>
      </c>
      <c r="O120" s="12" t="s">
        <v>105</v>
      </c>
      <c r="P120" s="12" t="str">
        <f t="shared" si="11"/>
        <v>7.3 CR</v>
      </c>
    </row>
    <row r="121" spans="1:16" ht="29" x14ac:dyDescent="0.35">
      <c r="A121" s="12">
        <v>120</v>
      </c>
      <c r="B121" s="12" t="str">
        <f t="shared" si="10"/>
        <v>IEC 62443-4-2 - 7.4 CR</v>
      </c>
      <c r="C121" s="14">
        <f>FR7_RA!D26</f>
        <v>0</v>
      </c>
      <c r="D121" s="12" t="s">
        <v>102</v>
      </c>
      <c r="E121" s="14" t="str">
        <f t="shared" si="8"/>
        <v>FR 7 - Resource availability (RA)</v>
      </c>
      <c r="F121" s="14" t="s">
        <v>176</v>
      </c>
      <c r="G121" s="12" t="str">
        <f t="shared" si="9"/>
        <v>n/a</v>
      </c>
      <c r="H121" s="14" t="str">
        <f>FR7_RA!C24</f>
        <v>Control system recovery and reconstitution</v>
      </c>
      <c r="I121" s="15" t="str">
        <f>FR7_RA!C25</f>
        <v>Components shall provide the capability to be recovered and reconstituted to a known secure state after a disruption or failure.</v>
      </c>
      <c r="J121" s="14">
        <f>FR7_RA!J26</f>
        <v>1</v>
      </c>
      <c r="K121" s="15">
        <f>FR7_RA!D25</f>
        <v>0</v>
      </c>
      <c r="L121" s="12" t="s">
        <v>104</v>
      </c>
      <c r="M121" s="12" t="str">
        <f>FR7_RA!A24</f>
        <v>CR</v>
      </c>
      <c r="N121" s="14" t="str">
        <f>FR7_RA!B24</f>
        <v>7.4</v>
      </c>
      <c r="O121" s="12" t="s">
        <v>105</v>
      </c>
      <c r="P121" s="12" t="str">
        <f t="shared" si="11"/>
        <v>7.4 CR</v>
      </c>
    </row>
    <row r="122" spans="1:16" x14ac:dyDescent="0.35">
      <c r="A122" s="12">
        <v>121</v>
      </c>
      <c r="B122" s="12" t="str">
        <f t="shared" si="10"/>
        <v>IEC 62443-4-2 - 7.5 CR</v>
      </c>
      <c r="C122" s="14">
        <f>FR7_RA!D29</f>
        <v>0</v>
      </c>
      <c r="D122" s="12" t="s">
        <v>102</v>
      </c>
      <c r="E122" s="14" t="str">
        <f t="shared" si="8"/>
        <v>FR 7 - Resource availability (RA)</v>
      </c>
      <c r="F122" s="14" t="s">
        <v>177</v>
      </c>
      <c r="G122" s="12" t="str">
        <f t="shared" si="9"/>
        <v>n/a</v>
      </c>
      <c r="H122" s="14" t="str">
        <f>FR7_RA!C27</f>
        <v>Emergency Power</v>
      </c>
      <c r="I122" s="15" t="str">
        <f>FR7_RA!C28</f>
        <v>There is no component level requirement associated with ISA-62443-3-3 SR 7.5</v>
      </c>
      <c r="J122" s="14">
        <f>FR7_RA!J29</f>
        <v>0</v>
      </c>
      <c r="K122" s="15">
        <f>FR7_RA!D28</f>
        <v>0</v>
      </c>
      <c r="L122" s="12" t="s">
        <v>104</v>
      </c>
      <c r="M122" s="12" t="str">
        <f>FR7_RA!A27</f>
        <v>CR</v>
      </c>
      <c r="N122" s="14" t="str">
        <f>FR7_RA!B27</f>
        <v>7.5</v>
      </c>
      <c r="O122" s="12" t="s">
        <v>105</v>
      </c>
      <c r="P122" s="12" t="str">
        <f t="shared" si="11"/>
        <v>7.5 CR</v>
      </c>
    </row>
    <row r="123" spans="1:16" ht="43.5" x14ac:dyDescent="0.35">
      <c r="A123" s="12">
        <v>122</v>
      </c>
      <c r="B123" s="12" t="str">
        <f t="shared" si="10"/>
        <v>IEC 62443-4-2 - 7.6 CR</v>
      </c>
      <c r="C123" s="14">
        <f>FR7_RA!D33</f>
        <v>0</v>
      </c>
      <c r="D123" s="12" t="s">
        <v>102</v>
      </c>
      <c r="E123" s="14" t="str">
        <f t="shared" si="8"/>
        <v>FR 7 - Resource availability (RA)</v>
      </c>
      <c r="F123" s="14" t="s">
        <v>178</v>
      </c>
      <c r="G123" s="12" t="str">
        <f t="shared" si="9"/>
        <v>n/a</v>
      </c>
      <c r="H123" s="14" t="str">
        <f>FR7_RA!C30</f>
        <v>Network and security configuration settings</v>
      </c>
      <c r="I123" s="15" t="str">
        <f>FR7_RA!C31</f>
        <v xml:space="preserve">Components shall provide the capability to be configured according to recommended network and security configurations as described in guidelines provided by the control system supplier. </v>
      </c>
      <c r="J123" s="14">
        <f>FR7_RA!J33</f>
        <v>1</v>
      </c>
      <c r="K123" s="15">
        <f>FR7_RA!D31</f>
        <v>0</v>
      </c>
      <c r="L123" s="12" t="s">
        <v>104</v>
      </c>
      <c r="M123" s="12" t="str">
        <f>FR7_RA!A30</f>
        <v>CR</v>
      </c>
      <c r="N123" s="14" t="str">
        <f>FR7_RA!B30</f>
        <v>7.6</v>
      </c>
      <c r="O123" s="12" t="s">
        <v>105</v>
      </c>
      <c r="P123" s="12" t="str">
        <f t="shared" si="11"/>
        <v>7.6 CR</v>
      </c>
    </row>
    <row r="124" spans="1:16" ht="29" x14ac:dyDescent="0.35">
      <c r="A124" s="12">
        <v>123</v>
      </c>
      <c r="B124" s="12" t="str">
        <f t="shared" si="10"/>
        <v>IEC 62443-4-2 - 7.6.1 CR RE</v>
      </c>
      <c r="C124" s="14">
        <f>FR7_RA!D36</f>
        <v>0</v>
      </c>
      <c r="D124" s="12" t="s">
        <v>102</v>
      </c>
      <c r="E124" s="14" t="str">
        <f t="shared" si="8"/>
        <v>FR 7 - Resource availability (RA)</v>
      </c>
      <c r="F124" s="14" t="s">
        <v>178</v>
      </c>
      <c r="G124" s="12" t="str">
        <f t="shared" si="9"/>
        <v>RE(1)</v>
      </c>
      <c r="H124" s="14" t="str">
        <f>FR7_RA!C34</f>
        <v xml:space="preserve">Machine-readable reporting of current security settings </v>
      </c>
      <c r="I124" s="15" t="str">
        <f>FR7_RA!C35</f>
        <v>Components shall provide the capability to generate a report listing the currently deployed security settings in a machine-readable format.</v>
      </c>
      <c r="J124" s="14">
        <f>FR7_RA!J36</f>
        <v>3</v>
      </c>
      <c r="K124" s="15">
        <f>FR7_RA!D35</f>
        <v>0</v>
      </c>
      <c r="L124" s="12" t="s">
        <v>104</v>
      </c>
      <c r="M124" s="12" t="str">
        <f>FR7_RA!A34</f>
        <v>CR RE</v>
      </c>
      <c r="N124" s="14" t="str">
        <f>FR7_RA!B34</f>
        <v>7.6.1</v>
      </c>
      <c r="O124" s="12" t="s">
        <v>105</v>
      </c>
      <c r="P124" s="12" t="str">
        <f t="shared" si="11"/>
        <v>7.6 CR</v>
      </c>
    </row>
    <row r="125" spans="1:16" ht="29" x14ac:dyDescent="0.35">
      <c r="A125" s="12">
        <v>124</v>
      </c>
      <c r="B125" s="12" t="str">
        <f t="shared" si="10"/>
        <v>IEC 62443-4-2 - 7.7 CR</v>
      </c>
      <c r="C125" s="14" t="str">
        <f>FR7_RA!D39</f>
        <v>Supported</v>
      </c>
      <c r="D125" s="12" t="s">
        <v>102</v>
      </c>
      <c r="E125" s="14" t="str">
        <f t="shared" si="8"/>
        <v>FR 7 - Resource availability (RA)</v>
      </c>
      <c r="F125" s="14" t="s">
        <v>179</v>
      </c>
      <c r="G125" s="12" t="str">
        <f t="shared" si="9"/>
        <v>n/a</v>
      </c>
      <c r="H125" s="14" t="str">
        <f>FR7_RA!C37</f>
        <v>Least functionality</v>
      </c>
      <c r="I125" s="15" t="str">
        <f>FR7_RA!C38</f>
        <v>Components shall provide the capability to specifically restrict the use of unnecessary functions, ports, protocols and/or services.</v>
      </c>
      <c r="J125" s="14">
        <f>FR7_RA!J39</f>
        <v>1</v>
      </c>
      <c r="K125" s="15">
        <f>FR7_RA!D38</f>
        <v>0</v>
      </c>
      <c r="L125" s="12" t="s">
        <v>104</v>
      </c>
      <c r="M125" s="12" t="str">
        <f>FR7_RA!A37</f>
        <v>CR</v>
      </c>
      <c r="N125" s="14" t="str">
        <f>FR7_RA!B37</f>
        <v>7.7</v>
      </c>
      <c r="O125" s="12" t="s">
        <v>105</v>
      </c>
      <c r="P125" s="12" t="str">
        <f t="shared" si="11"/>
        <v>7.7 CR</v>
      </c>
    </row>
    <row r="126" spans="1:16" ht="261" x14ac:dyDescent="0.35">
      <c r="A126" s="12">
        <v>125</v>
      </c>
      <c r="B126" s="12" t="str">
        <f t="shared" si="10"/>
        <v>IEC 62443-4-2 - 7.8 CR</v>
      </c>
      <c r="C126" s="14">
        <f>FR7_RA!D42</f>
        <v>0</v>
      </c>
      <c r="D126" s="12" t="s">
        <v>102</v>
      </c>
      <c r="E126" s="14" t="str">
        <f t="shared" si="8"/>
        <v>FR 7 - Resource availability (RA)</v>
      </c>
      <c r="F126" s="14" t="s">
        <v>180</v>
      </c>
      <c r="G126" s="12" t="str">
        <f t="shared" si="9"/>
        <v>n/a</v>
      </c>
      <c r="H126" s="14" t="str">
        <f>FR7_RA!C40</f>
        <v>Control system component inventory</v>
      </c>
      <c r="I126" s="15" t="str">
        <f>FR7_RA!C41</f>
        <v>Components shall provide the capability to support a control system component inventory according to ISA‑62443‑3‑3  SR 7.8.</v>
      </c>
      <c r="J126" s="14">
        <f>FR7_RA!J42</f>
        <v>2</v>
      </c>
      <c r="K126" s="15" t="str">
        <f>FR7_RA!D41</f>
        <v>Note: -3-3 SR 7.8 requires that "The control system shall provide the capability to report the current list of installed components and their associated properties."</v>
      </c>
      <c r="L126" s="12" t="s">
        <v>104</v>
      </c>
      <c r="M126" s="12" t="str">
        <f>FR7_RA!A40</f>
        <v>CR</v>
      </c>
      <c r="N126" s="14" t="str">
        <f>FR7_RA!B40</f>
        <v>7.8</v>
      </c>
      <c r="O126" s="12" t="s">
        <v>105</v>
      </c>
      <c r="P126" s="12" t="str">
        <f t="shared" si="11"/>
        <v>7.8 CR</v>
      </c>
    </row>
  </sheetData>
  <autoFilter ref="A1:R126" xr:uid="{21BB276B-F553-4AD0-8E1D-B20513AFED15}"/>
  <pageMargins left="0.7" right="0.7" top="0.75" bottom="0.75" header="0.3" footer="0.3"/>
  <pageSetup paperSize="9" orientation="portrait"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19C0-1470-4521-B28E-9594D67C31E2}">
  <dimension ref="A1:L128"/>
  <sheetViews>
    <sheetView workbookViewId="0">
      <pane xSplit="2" ySplit="1" topLeftCell="C2" activePane="bottomRight" state="frozen"/>
      <selection pane="topRight" activeCell="C1" sqref="C1"/>
      <selection pane="bottomLeft" activeCell="A2" sqref="A2"/>
      <selection pane="bottomRight" activeCell="D9" sqref="D9"/>
    </sheetView>
  </sheetViews>
  <sheetFormatPr defaultColWidth="9.36328125" defaultRowHeight="14.5" x14ac:dyDescent="0.35"/>
  <cols>
    <col min="1" max="1" width="5.36328125" style="12" bestFit="1" customWidth="1"/>
    <col min="2" max="2" width="26.453125" style="12" bestFit="1" customWidth="1"/>
    <col min="3" max="3" width="22.453125" style="12" customWidth="1"/>
    <col min="4" max="4" width="71.36328125" style="12" customWidth="1"/>
    <col min="5" max="5" width="57.453125" style="13" customWidth="1"/>
    <col min="6" max="6" width="12.453125" style="12" bestFit="1" customWidth="1"/>
    <col min="7" max="7" width="9.36328125" style="12"/>
    <col min="8" max="8" width="11.453125" style="12" bestFit="1" customWidth="1"/>
    <col min="9" max="9" width="11" style="12" bestFit="1" customWidth="1"/>
    <col min="10" max="10" width="15.6328125" style="12" customWidth="1"/>
    <col min="11" max="11" width="14.36328125" style="12" customWidth="1"/>
    <col min="12" max="16384" width="9.36328125" style="12"/>
  </cols>
  <sheetData>
    <row r="1" spans="1:12" x14ac:dyDescent="0.35">
      <c r="A1" s="10" t="s">
        <v>86</v>
      </c>
      <c r="B1" s="10" t="s">
        <v>87</v>
      </c>
      <c r="C1" s="10" t="s">
        <v>88</v>
      </c>
      <c r="D1" s="10" t="s">
        <v>95</v>
      </c>
      <c r="E1" s="11" t="s">
        <v>181</v>
      </c>
      <c r="F1" s="10" t="s">
        <v>96</v>
      </c>
      <c r="G1" s="10" t="s">
        <v>97</v>
      </c>
      <c r="H1" s="10" t="s">
        <v>98</v>
      </c>
      <c r="I1" s="10" t="s">
        <v>55</v>
      </c>
      <c r="J1" s="10" t="s">
        <v>100</v>
      </c>
      <c r="K1" s="10" t="s">
        <v>101</v>
      </c>
      <c r="L1" s="10" t="s">
        <v>94</v>
      </c>
    </row>
    <row r="2" spans="1:12" x14ac:dyDescent="0.35">
      <c r="A2" s="12">
        <v>1</v>
      </c>
      <c r="B2" s="12" t="str">
        <f t="shared" ref="B2:B33" si="0">CONCATENATE(F2," - ",H2," ",G2)</f>
        <v>IEC 62443-4-2 - 1.1 CR</v>
      </c>
      <c r="C2" s="14">
        <f>FR1_IAC!D11</f>
        <v>0</v>
      </c>
      <c r="D2" s="15">
        <f>FR1_IAC!D10</f>
        <v>0</v>
      </c>
      <c r="F2" s="12" t="s">
        <v>104</v>
      </c>
      <c r="G2" s="14" t="str">
        <f>FR1_IAC!A9</f>
        <v>CR</v>
      </c>
      <c r="H2" s="14" t="str">
        <f>FR1_IAC!B9</f>
        <v>1.1</v>
      </c>
      <c r="I2" s="12" t="s">
        <v>105</v>
      </c>
      <c r="L2" s="14">
        <f>FR1_IAC!J11</f>
        <v>1</v>
      </c>
    </row>
    <row r="3" spans="1:12" x14ac:dyDescent="0.35">
      <c r="A3" s="12">
        <v>2</v>
      </c>
      <c r="B3" s="12" t="str">
        <f t="shared" si="0"/>
        <v>IEC 62443-4-2 - 1.1.1 CR RE</v>
      </c>
      <c r="C3" s="14">
        <f>FR1_IAC!D14</f>
        <v>0</v>
      </c>
      <c r="D3" s="15">
        <f>FR1_IAC!D13</f>
        <v>0</v>
      </c>
      <c r="E3" s="12"/>
      <c r="F3" s="12" t="s">
        <v>104</v>
      </c>
      <c r="G3" s="14" t="str">
        <f>FR1_IAC!A12</f>
        <v>CR RE</v>
      </c>
      <c r="H3" s="14" t="str">
        <f>FR1_IAC!B12</f>
        <v>1.1.1</v>
      </c>
      <c r="I3" s="12" t="s">
        <v>105</v>
      </c>
      <c r="L3" s="14">
        <f>FR1_IAC!J14</f>
        <v>2</v>
      </c>
    </row>
    <row r="4" spans="1:12" x14ac:dyDescent="0.35">
      <c r="A4" s="12">
        <v>3</v>
      </c>
      <c r="B4" s="12" t="str">
        <f t="shared" si="0"/>
        <v>IEC 62443-4-2 - 1.1.2 CR RE</v>
      </c>
      <c r="C4" s="14">
        <f>FR1_IAC!D17</f>
        <v>0</v>
      </c>
      <c r="D4" s="15">
        <f>FR1_IAC!D16</f>
        <v>0</v>
      </c>
      <c r="E4" s="12"/>
      <c r="F4" s="12" t="s">
        <v>104</v>
      </c>
      <c r="G4" s="14" t="str">
        <f>FR1_IAC!A15</f>
        <v>CR RE</v>
      </c>
      <c r="H4" s="14" t="str">
        <f>FR1_IAC!B15</f>
        <v>1.1.2</v>
      </c>
      <c r="I4" s="12" t="s">
        <v>105</v>
      </c>
      <c r="L4" s="14">
        <f>FR1_IAC!J17</f>
        <v>3</v>
      </c>
    </row>
    <row r="5" spans="1:12" x14ac:dyDescent="0.35">
      <c r="A5" s="12">
        <v>4</v>
      </c>
      <c r="B5" s="12" t="str">
        <f t="shared" si="0"/>
        <v>IEC 62443-4-2 - 1.2 CR</v>
      </c>
      <c r="C5" s="14">
        <f>FR1_IAC!D20</f>
        <v>0</v>
      </c>
      <c r="D5" s="15">
        <f>FR1_IAC!D19</f>
        <v>0</v>
      </c>
      <c r="E5" s="12"/>
      <c r="F5" s="12" t="s">
        <v>104</v>
      </c>
      <c r="G5" s="14" t="str">
        <f>FR1_IAC!A18</f>
        <v>CR</v>
      </c>
      <c r="H5" s="14" t="str">
        <f>FR1_IAC!B18</f>
        <v>1.2</v>
      </c>
      <c r="I5" s="12" t="s">
        <v>105</v>
      </c>
      <c r="L5" s="14">
        <f>FR1_IAC!J20</f>
        <v>2</v>
      </c>
    </row>
    <row r="6" spans="1:12" x14ac:dyDescent="0.35">
      <c r="A6" s="12">
        <v>5</v>
      </c>
      <c r="B6" s="12" t="str">
        <f t="shared" si="0"/>
        <v>IEC 62443-4-2 - 1.2.1 CR RE</v>
      </c>
      <c r="C6" s="14">
        <f>FR1_IAC!D23</f>
        <v>0</v>
      </c>
      <c r="D6" s="15">
        <f>FR1_IAC!D22</f>
        <v>0</v>
      </c>
      <c r="F6" s="12" t="s">
        <v>104</v>
      </c>
      <c r="G6" s="14" t="str">
        <f>FR1_IAC!A21</f>
        <v>CR RE</v>
      </c>
      <c r="H6" s="14" t="str">
        <f>FR1_IAC!B21</f>
        <v>1.2.1</v>
      </c>
      <c r="I6" s="12" t="s">
        <v>105</v>
      </c>
      <c r="L6" s="14">
        <f>FR1_IAC!J23</f>
        <v>3</v>
      </c>
    </row>
    <row r="7" spans="1:12" ht="145" x14ac:dyDescent="0.35">
      <c r="A7" s="12">
        <v>6</v>
      </c>
      <c r="B7" s="12" t="str">
        <f t="shared" si="0"/>
        <v>IEC 62443-4-2 - 1.3 CR</v>
      </c>
      <c r="C7" s="14" t="str">
        <f>FR1_IAC!D26</f>
        <v>Supported with some restrictions/partly needs clarifications</v>
      </c>
      <c r="D7" s="15" t="str">
        <f>FR1_IAC!D25</f>
        <v>MCSR has a "not" requirement. Improvement would be to write it positive like in 62443: Products should have Account- and Authenticator Management, adding accounts is not an MCSR.
Note: -3-3 requirement is "The control system shall provide the capability to support the management of all accounts by authorized users, including adding, activating, modifying, disabling and removing accounts."
ABB Acceptance: 
FAQ: all accounts: also includes debug/maintenance accounts.
FAQ: all accounts: also includes single admin account with changeable password.
FAQ: if there is no account, then there is nothing to manage</v>
      </c>
      <c r="E7" s="12"/>
      <c r="F7" s="12" t="s">
        <v>104</v>
      </c>
      <c r="G7" s="14" t="str">
        <f>FR1_IAC!A24</f>
        <v>CR</v>
      </c>
      <c r="H7" s="14" t="str">
        <f>FR1_IAC!B24</f>
        <v>1.3</v>
      </c>
      <c r="I7" s="12" t="s">
        <v>105</v>
      </c>
      <c r="L7" s="14">
        <f>FR1_IAC!J26</f>
        <v>1</v>
      </c>
    </row>
    <row r="8" spans="1:12" x14ac:dyDescent="0.35">
      <c r="A8" s="12">
        <v>7</v>
      </c>
      <c r="B8" s="12" t="str">
        <f t="shared" si="0"/>
        <v>IEC 62443-4-2 - 1.4 CR</v>
      </c>
      <c r="C8" s="14">
        <f>FR1_IAC!D29</f>
        <v>0</v>
      </c>
      <c r="D8" s="15">
        <f>FR1_IAC!D28</f>
        <v>0</v>
      </c>
      <c r="E8" s="12"/>
      <c r="F8" s="12" t="s">
        <v>104</v>
      </c>
      <c r="G8" s="14" t="str">
        <f>FR1_IAC!A27</f>
        <v>CR</v>
      </c>
      <c r="H8" s="14" t="str">
        <f>FR1_IAC!B27</f>
        <v>1.4</v>
      </c>
      <c r="I8" s="12" t="s">
        <v>105</v>
      </c>
      <c r="L8" s="14">
        <f>FR1_IAC!J29</f>
        <v>1</v>
      </c>
    </row>
    <row r="9" spans="1:12" ht="29" x14ac:dyDescent="0.35">
      <c r="A9" s="12">
        <v>8</v>
      </c>
      <c r="B9" s="12" t="str">
        <f t="shared" si="0"/>
        <v>IEC 62443-4-2 - 1.5 CR</v>
      </c>
      <c r="C9" s="14" t="str">
        <f>FR1_IAC!D35</f>
        <v>Supported with some restrictions/partly needs clarifications</v>
      </c>
      <c r="D9" s="15" t="str">
        <f>FR1_IAC!D31</f>
        <v>This seems to be equivalent to our requirement that all passwords, keys, etc. (authenticators) shall be changeable.</v>
      </c>
      <c r="E9" s="12"/>
      <c r="F9" s="12" t="s">
        <v>104</v>
      </c>
      <c r="G9" s="14" t="str">
        <f>FR1_IAC!A30</f>
        <v>CR</v>
      </c>
      <c r="H9" s="14" t="str">
        <f>FR1_IAC!B30</f>
        <v>1.5</v>
      </c>
      <c r="I9" s="12" t="s">
        <v>105</v>
      </c>
      <c r="L9" s="14">
        <f>FR1_IAC!J35</f>
        <v>1</v>
      </c>
    </row>
    <row r="10" spans="1:12" x14ac:dyDescent="0.35">
      <c r="A10" s="12">
        <v>9</v>
      </c>
      <c r="B10" s="12" t="str">
        <f t="shared" si="0"/>
        <v>IEC 62443-4-2 - 1.5.1 CR RE</v>
      </c>
      <c r="C10" s="14">
        <f>FR1_IAC!D38</f>
        <v>0</v>
      </c>
      <c r="D10" s="15">
        <f>FR1_IAC!D37</f>
        <v>0</v>
      </c>
      <c r="E10" s="12"/>
      <c r="F10" s="12" t="s">
        <v>104</v>
      </c>
      <c r="G10" s="14" t="str">
        <f>FR1_IAC!A36</f>
        <v>CR RE</v>
      </c>
      <c r="H10" s="14" t="str">
        <f>FR1_IAC!B36</f>
        <v>1.5.1</v>
      </c>
      <c r="I10" s="12" t="s">
        <v>105</v>
      </c>
      <c r="L10" s="14">
        <f>FR1_IAC!J38</f>
        <v>3</v>
      </c>
    </row>
    <row r="11" spans="1:12" ht="29" x14ac:dyDescent="0.35">
      <c r="A11" s="12">
        <v>10</v>
      </c>
      <c r="B11" s="12" t="str">
        <f t="shared" si="0"/>
        <v>IEC 62443-4-2 - 1.6 NDR</v>
      </c>
      <c r="C11" s="14">
        <f>FR1_IAC!D41</f>
        <v>0</v>
      </c>
      <c r="D11" s="15" t="str">
        <f>FR1_IAC!D40</f>
        <v>MCSR MP-15 is focusing on application layer protocols, while wireless protocols typically act on lower layers (e.g. 802.11 on layer 2 and 1).</v>
      </c>
      <c r="E11" s="12"/>
      <c r="F11" s="12" t="s">
        <v>104</v>
      </c>
      <c r="G11" s="14" t="str">
        <f>FR1_IAC!A39</f>
        <v>NDR</v>
      </c>
      <c r="H11" s="14" t="str">
        <f>FR1_IAC!B39</f>
        <v>1.6</v>
      </c>
      <c r="I11" s="12" t="s">
        <v>105</v>
      </c>
      <c r="L11" s="14">
        <f>FR1_IAC!J41</f>
        <v>1</v>
      </c>
    </row>
    <row r="12" spans="1:12" ht="29" x14ac:dyDescent="0.35">
      <c r="A12" s="12">
        <v>11</v>
      </c>
      <c r="B12" s="12" t="str">
        <f t="shared" si="0"/>
        <v>IEC 62443-4-2 - 1.6.1 NDR RE</v>
      </c>
      <c r="C12" s="14">
        <f>FR1_IAC!D44</f>
        <v>0</v>
      </c>
      <c r="D12" s="15" t="str">
        <f>FR1_IAC!D43</f>
        <v>MCSR MP-15 is focusing on application layer protocols, while wireless protocols typically act on lower layers (e.g. 802.11 on layer 2 and 1).</v>
      </c>
      <c r="E12" s="12"/>
      <c r="F12" s="12" t="s">
        <v>104</v>
      </c>
      <c r="G12" s="14" t="str">
        <f>FR1_IAC!A42</f>
        <v>NDR RE</v>
      </c>
      <c r="H12" s="14" t="str">
        <f>FR1_IAC!B42</f>
        <v>1.6.1</v>
      </c>
      <c r="I12" s="12" t="s">
        <v>105</v>
      </c>
      <c r="L12" s="14">
        <f>FR1_IAC!J44</f>
        <v>2</v>
      </c>
    </row>
    <row r="13" spans="1:12" x14ac:dyDescent="0.35">
      <c r="A13" s="12">
        <v>12</v>
      </c>
      <c r="B13" s="12" t="str">
        <f t="shared" si="0"/>
        <v>IEC 62443-4-2 - 1.7 CR</v>
      </c>
      <c r="C13" s="14">
        <f>FR1_IAC!D47</f>
        <v>0</v>
      </c>
      <c r="D13" s="15">
        <f>FR1_IAC!D46</f>
        <v>0</v>
      </c>
      <c r="E13" s="12"/>
      <c r="F13" s="12" t="s">
        <v>104</v>
      </c>
      <c r="G13" s="14" t="str">
        <f>FR1_IAC!A45</f>
        <v>CR</v>
      </c>
      <c r="H13" s="14" t="str">
        <f>FR1_IAC!B45</f>
        <v>1.7</v>
      </c>
      <c r="I13" s="12" t="s">
        <v>105</v>
      </c>
      <c r="L13" s="14">
        <f>FR1_IAC!J47</f>
        <v>1</v>
      </c>
    </row>
    <row r="14" spans="1:12" x14ac:dyDescent="0.35">
      <c r="A14" s="12">
        <v>13</v>
      </c>
      <c r="B14" s="12" t="str">
        <f t="shared" si="0"/>
        <v>IEC 62443-4-2 - 1.7.1 CR RE</v>
      </c>
      <c r="C14" s="14">
        <f>FR1_IAC!D50</f>
        <v>0</v>
      </c>
      <c r="D14" s="15">
        <f>FR1_IAC!D49</f>
        <v>0</v>
      </c>
      <c r="E14" s="12"/>
      <c r="F14" s="12" t="s">
        <v>104</v>
      </c>
      <c r="G14" s="14" t="str">
        <f>FR1_IAC!A48</f>
        <v>CR RE</v>
      </c>
      <c r="H14" s="14" t="str">
        <f>FR1_IAC!B48</f>
        <v>1.7.1</v>
      </c>
      <c r="I14" s="12" t="s">
        <v>105</v>
      </c>
      <c r="L14" s="14">
        <f>FR1_IAC!J50</f>
        <v>3</v>
      </c>
    </row>
    <row r="15" spans="1:12" x14ac:dyDescent="0.35">
      <c r="A15" s="12">
        <v>14</v>
      </c>
      <c r="B15" s="12" t="str">
        <f t="shared" si="0"/>
        <v>IEC 62443-4-2 - 1.7.2 CR RE</v>
      </c>
      <c r="C15" s="14">
        <f>FR1_IAC!D53</f>
        <v>0</v>
      </c>
      <c r="D15" s="15">
        <f>FR1_IAC!D52</f>
        <v>0</v>
      </c>
      <c r="E15" s="12"/>
      <c r="F15" s="12" t="s">
        <v>104</v>
      </c>
      <c r="G15" s="14" t="str">
        <f>FR1_IAC!A51</f>
        <v>CR RE</v>
      </c>
      <c r="H15" s="14" t="str">
        <f>FR1_IAC!B51</f>
        <v>1.7.2</v>
      </c>
      <c r="I15" s="12" t="s">
        <v>105</v>
      </c>
      <c r="L15" s="14">
        <f>FR1_IAC!J53</f>
        <v>4</v>
      </c>
    </row>
    <row r="16" spans="1:12" x14ac:dyDescent="0.35">
      <c r="A16" s="12">
        <v>15</v>
      </c>
      <c r="B16" s="12" t="str">
        <f t="shared" si="0"/>
        <v>IEC 62443-4-2 - 1.8 CR</v>
      </c>
      <c r="C16" s="14">
        <f>FR1_IAC!D56</f>
        <v>0</v>
      </c>
      <c r="D16" s="15">
        <f>FR1_IAC!D55</f>
        <v>0</v>
      </c>
      <c r="E16" s="12"/>
      <c r="F16" s="12" t="s">
        <v>104</v>
      </c>
      <c r="G16" s="14" t="str">
        <f>FR1_IAC!A54</f>
        <v>CR</v>
      </c>
      <c r="H16" s="14" t="str">
        <f>FR1_IAC!B54</f>
        <v>1.8</v>
      </c>
      <c r="I16" s="12" t="s">
        <v>105</v>
      </c>
      <c r="L16" s="14">
        <f>FR1_IAC!J56</f>
        <v>2</v>
      </c>
    </row>
    <row r="17" spans="1:12" x14ac:dyDescent="0.35">
      <c r="A17" s="12">
        <v>16</v>
      </c>
      <c r="B17" s="12" t="str">
        <f t="shared" si="0"/>
        <v>IEC 62443-4-2 - 1.9 CR</v>
      </c>
      <c r="C17" s="14">
        <f>FR1_IAC!D59</f>
        <v>0</v>
      </c>
      <c r="D17" s="15">
        <f>FR1_IAC!D58</f>
        <v>0</v>
      </c>
      <c r="E17" s="12"/>
      <c r="F17" s="12" t="s">
        <v>104</v>
      </c>
      <c r="G17" s="14" t="str">
        <f>FR1_IAC!A57</f>
        <v>CR</v>
      </c>
      <c r="H17" s="14" t="str">
        <f>FR1_IAC!B57</f>
        <v>1.9</v>
      </c>
      <c r="I17" s="12" t="s">
        <v>105</v>
      </c>
      <c r="L17" s="14">
        <f>FR1_IAC!J59</f>
        <v>2</v>
      </c>
    </row>
    <row r="18" spans="1:12" x14ac:dyDescent="0.35">
      <c r="A18" s="12">
        <v>17</v>
      </c>
      <c r="B18" s="12" t="str">
        <f t="shared" si="0"/>
        <v>IEC 62443-4-2 - 1.9.1 CR RE</v>
      </c>
      <c r="C18" s="14">
        <f>FR1_IAC!D62</f>
        <v>0</v>
      </c>
      <c r="D18" s="15">
        <f>FR1_IAC!D61</f>
        <v>0</v>
      </c>
      <c r="E18" s="12"/>
      <c r="F18" s="12" t="s">
        <v>104</v>
      </c>
      <c r="G18" s="14" t="str">
        <f>FR1_IAC!A60</f>
        <v>CR RE</v>
      </c>
      <c r="H18" s="14" t="str">
        <f>FR1_IAC!B60</f>
        <v>1.9.1</v>
      </c>
      <c r="I18" s="12" t="s">
        <v>105</v>
      </c>
      <c r="L18" s="14">
        <f>FR1_IAC!J62</f>
        <v>3</v>
      </c>
    </row>
    <row r="19" spans="1:12" x14ac:dyDescent="0.35">
      <c r="A19" s="12">
        <v>18</v>
      </c>
      <c r="B19" s="12" t="str">
        <f t="shared" si="0"/>
        <v>IEC 62443-4-2 - 1.10 CR</v>
      </c>
      <c r="C19" s="14">
        <f>FR1_IAC!D65</f>
        <v>0</v>
      </c>
      <c r="D19" s="15">
        <f>FR1_IAC!D64</f>
        <v>0</v>
      </c>
      <c r="E19" s="12"/>
      <c r="F19" s="12" t="s">
        <v>104</v>
      </c>
      <c r="G19" s="14" t="str">
        <f>FR1_IAC!A63</f>
        <v>CR</v>
      </c>
      <c r="H19" s="14" t="str">
        <f>FR1_IAC!B63</f>
        <v>1.10</v>
      </c>
      <c r="I19" s="12" t="s">
        <v>105</v>
      </c>
      <c r="L19" s="14">
        <f>FR1_IAC!J65</f>
        <v>1</v>
      </c>
    </row>
    <row r="20" spans="1:12" x14ac:dyDescent="0.35">
      <c r="A20" s="12">
        <v>19</v>
      </c>
      <c r="B20" s="12" t="str">
        <f t="shared" si="0"/>
        <v>IEC 62443-4-2 - 1.11 CR</v>
      </c>
      <c r="C20" s="14">
        <f>FR1_IAC!D68</f>
        <v>0</v>
      </c>
      <c r="D20" s="15">
        <f>FR1_IAC!D67</f>
        <v>0</v>
      </c>
      <c r="E20" s="12"/>
      <c r="F20" s="12" t="s">
        <v>104</v>
      </c>
      <c r="G20" s="14" t="str">
        <f>FR1_IAC!A66</f>
        <v>CR</v>
      </c>
      <c r="H20" s="14" t="str">
        <f>FR1_IAC!B66</f>
        <v>1.11</v>
      </c>
      <c r="I20" s="12" t="s">
        <v>105</v>
      </c>
      <c r="L20" s="14">
        <f>FR1_IAC!J68</f>
        <v>1</v>
      </c>
    </row>
    <row r="21" spans="1:12" x14ac:dyDescent="0.35">
      <c r="A21" s="12">
        <v>20</v>
      </c>
      <c r="B21" s="12" t="str">
        <f t="shared" si="0"/>
        <v>IEC 62443-4-2 - 1.12 CR</v>
      </c>
      <c r="C21" s="14">
        <f>FR1_IAC!D71</f>
        <v>0</v>
      </c>
      <c r="D21" s="15">
        <f>FR1_IAC!D70</f>
        <v>0</v>
      </c>
      <c r="E21" s="12"/>
      <c r="F21" s="12" t="s">
        <v>104</v>
      </c>
      <c r="G21" s="14" t="str">
        <f>FR1_IAC!A69</f>
        <v>CR</v>
      </c>
      <c r="H21" s="14" t="str">
        <f>FR1_IAC!B69</f>
        <v>1.12</v>
      </c>
      <c r="I21" s="12" t="s">
        <v>105</v>
      </c>
      <c r="L21" s="14">
        <f>FR1_IAC!J71</f>
        <v>1</v>
      </c>
    </row>
    <row r="22" spans="1:12" x14ac:dyDescent="0.35">
      <c r="A22" s="12">
        <v>21</v>
      </c>
      <c r="B22" s="12" t="str">
        <f t="shared" si="0"/>
        <v>IEC 62443-4-2 - 1.13 NDR</v>
      </c>
      <c r="C22" s="14">
        <f>FR1_IAC!D74</f>
        <v>0</v>
      </c>
      <c r="D22" s="15">
        <f>FR1_IAC!D73</f>
        <v>0</v>
      </c>
      <c r="E22" s="12"/>
      <c r="F22" s="12" t="s">
        <v>104</v>
      </c>
      <c r="G22" s="14" t="str">
        <f>FR1_IAC!A72</f>
        <v>NDR</v>
      </c>
      <c r="H22" s="14" t="str">
        <f>FR1_IAC!B72</f>
        <v>1.13</v>
      </c>
      <c r="I22" s="12" t="s">
        <v>105</v>
      </c>
      <c r="L22" s="14">
        <f>FR1_IAC!J74</f>
        <v>1</v>
      </c>
    </row>
    <row r="23" spans="1:12" x14ac:dyDescent="0.35">
      <c r="A23" s="12">
        <v>22</v>
      </c>
      <c r="B23" s="12" t="str">
        <f t="shared" si="0"/>
        <v>IEC 62443-4-2 - 1.13.1 NDR RE</v>
      </c>
      <c r="C23" s="14">
        <f>FR1_IAC!D77</f>
        <v>0</v>
      </c>
      <c r="D23" s="15">
        <f>FR1_IAC!D76</f>
        <v>0</v>
      </c>
      <c r="E23" s="12"/>
      <c r="F23" s="12" t="s">
        <v>104</v>
      </c>
      <c r="G23" s="14" t="str">
        <f>FR1_IAC!A75</f>
        <v>NDR RE</v>
      </c>
      <c r="H23" s="14" t="str">
        <f>FR1_IAC!B75</f>
        <v>1.13.1</v>
      </c>
      <c r="I23" s="12" t="s">
        <v>105</v>
      </c>
      <c r="L23" s="14">
        <f>FR1_IAC!J77</f>
        <v>3</v>
      </c>
    </row>
    <row r="24" spans="1:12" x14ac:dyDescent="0.35">
      <c r="A24" s="12">
        <v>23</v>
      </c>
      <c r="B24" s="12" t="str">
        <f t="shared" si="0"/>
        <v>IEC 62443-4-2 - 1.14 CR</v>
      </c>
      <c r="C24" s="14">
        <f>FR1_IAC!D80</f>
        <v>0</v>
      </c>
      <c r="D24" s="15">
        <f>FR1_IAC!D79</f>
        <v>0</v>
      </c>
      <c r="E24" s="12"/>
      <c r="F24" s="12" t="s">
        <v>104</v>
      </c>
      <c r="G24" s="14" t="str">
        <f>FR1_IAC!A78</f>
        <v>CR</v>
      </c>
      <c r="H24" s="14" t="str">
        <f>FR1_IAC!B78</f>
        <v>1.14</v>
      </c>
      <c r="I24" s="12" t="s">
        <v>105</v>
      </c>
      <c r="L24" s="14">
        <f>FR1_IAC!J80</f>
        <v>2</v>
      </c>
    </row>
    <row r="25" spans="1:12" x14ac:dyDescent="0.35">
      <c r="A25" s="12">
        <v>24</v>
      </c>
      <c r="B25" s="12" t="str">
        <f t="shared" si="0"/>
        <v>IEC 62443-4-2 - 1.14.1 CR RE</v>
      </c>
      <c r="C25" s="14">
        <f>FR1_IAC!D83</f>
        <v>0</v>
      </c>
      <c r="D25" s="15">
        <f>FR1_IAC!D82</f>
        <v>0</v>
      </c>
      <c r="E25" s="12"/>
      <c r="F25" s="12" t="s">
        <v>104</v>
      </c>
      <c r="G25" s="14" t="str">
        <f>FR1_IAC!A81</f>
        <v>CR RE</v>
      </c>
      <c r="H25" s="14" t="str">
        <f>FR1_IAC!B81</f>
        <v>1.14.1</v>
      </c>
      <c r="I25" s="12" t="s">
        <v>105</v>
      </c>
      <c r="L25" s="14">
        <f>FR1_IAC!J83</f>
        <v>3</v>
      </c>
    </row>
    <row r="26" spans="1:12" x14ac:dyDescent="0.35">
      <c r="A26" s="12">
        <v>25</v>
      </c>
      <c r="B26" s="12" t="str">
        <f t="shared" si="0"/>
        <v>IEC 62443-4-2 - 2.1 CR</v>
      </c>
      <c r="C26" s="14">
        <f>FR2_UC!D11</f>
        <v>0</v>
      </c>
      <c r="D26" s="15">
        <f>FR2_UC!D10</f>
        <v>0</v>
      </c>
      <c r="E26" s="12"/>
      <c r="F26" s="12" t="s">
        <v>104</v>
      </c>
      <c r="G26" s="12" t="str">
        <f>FR2_UC!A9</f>
        <v>CR</v>
      </c>
      <c r="H26" s="14" t="str">
        <f>FR2_UC!B9</f>
        <v>2.1</v>
      </c>
      <c r="I26" s="12" t="s">
        <v>105</v>
      </c>
      <c r="L26" s="14">
        <f>FR2_UC!J11</f>
        <v>1</v>
      </c>
    </row>
    <row r="27" spans="1:12" x14ac:dyDescent="0.35">
      <c r="A27" s="12">
        <v>26</v>
      </c>
      <c r="B27" s="12" t="str">
        <f t="shared" si="0"/>
        <v>IEC 62443-4-2 - 2.1.1 CR RE</v>
      </c>
      <c r="C27" s="14">
        <f>FR2_UC!D14</f>
        <v>0</v>
      </c>
      <c r="D27" s="15">
        <f>FR2_UC!D13</f>
        <v>0</v>
      </c>
      <c r="E27" s="12"/>
      <c r="F27" s="12" t="s">
        <v>104</v>
      </c>
      <c r="G27" s="12" t="str">
        <f>FR2_UC!A12</f>
        <v>CR RE</v>
      </c>
      <c r="H27" s="14" t="str">
        <f>FR2_UC!B12</f>
        <v>2.1.1</v>
      </c>
      <c r="I27" s="12" t="s">
        <v>105</v>
      </c>
      <c r="L27" s="14">
        <f>FR2_UC!J14</f>
        <v>2</v>
      </c>
    </row>
    <row r="28" spans="1:12" x14ac:dyDescent="0.35">
      <c r="A28" s="12">
        <v>27</v>
      </c>
      <c r="B28" s="12" t="str">
        <f t="shared" si="0"/>
        <v>IEC 62443-4-2 - 2.1.2 CR RE</v>
      </c>
      <c r="C28" s="14">
        <f>FR2_UC!D17</f>
        <v>0</v>
      </c>
      <c r="D28" s="15">
        <f>FR2_UC!D16</f>
        <v>0</v>
      </c>
      <c r="F28" s="12" t="s">
        <v>104</v>
      </c>
      <c r="G28" s="12" t="str">
        <f>FR2_UC!A15</f>
        <v>CR RE</v>
      </c>
      <c r="H28" s="14" t="str">
        <f>FR2_UC!B15</f>
        <v>2.1.2</v>
      </c>
      <c r="I28" s="12" t="s">
        <v>105</v>
      </c>
      <c r="L28" s="14">
        <f>FR2_UC!J17</f>
        <v>2</v>
      </c>
    </row>
    <row r="29" spans="1:12" x14ac:dyDescent="0.35">
      <c r="A29" s="12">
        <v>28</v>
      </c>
      <c r="B29" s="12" t="str">
        <f t="shared" si="0"/>
        <v>IEC 62443-4-2 - 2.1.3 CR RE</v>
      </c>
      <c r="C29" s="14">
        <f>FR2_UC!D20</f>
        <v>0</v>
      </c>
      <c r="D29" s="15">
        <f>FR2_UC!D19</f>
        <v>0</v>
      </c>
      <c r="F29" s="12" t="s">
        <v>104</v>
      </c>
      <c r="G29" s="12" t="str">
        <f>FR2_UC!A18</f>
        <v>CR RE</v>
      </c>
      <c r="H29" s="14" t="str">
        <f>FR2_UC!B18</f>
        <v>2.1.3</v>
      </c>
      <c r="I29" s="12" t="s">
        <v>105</v>
      </c>
      <c r="L29" s="14">
        <f>FR2_UC!J20</f>
        <v>3</v>
      </c>
    </row>
    <row r="30" spans="1:12" x14ac:dyDescent="0.35">
      <c r="A30" s="12">
        <v>29</v>
      </c>
      <c r="B30" s="12" t="str">
        <f t="shared" si="0"/>
        <v>IEC 62443-4-2 - 2.1.4 CR RE</v>
      </c>
      <c r="C30" s="14">
        <f>FR2_UC!D23</f>
        <v>0</v>
      </c>
      <c r="D30" s="15">
        <f>FR2_UC!D22</f>
        <v>0</v>
      </c>
      <c r="F30" s="12" t="s">
        <v>104</v>
      </c>
      <c r="G30" s="12" t="str">
        <f>FR2_UC!A21</f>
        <v>CR RE</v>
      </c>
      <c r="H30" s="14" t="str">
        <f>FR2_UC!B21</f>
        <v>2.1.4</v>
      </c>
      <c r="I30" s="12" t="s">
        <v>105</v>
      </c>
      <c r="L30" s="14">
        <f>FR2_UC!J23</f>
        <v>4</v>
      </c>
    </row>
    <row r="31" spans="1:12" x14ac:dyDescent="0.35">
      <c r="A31" s="12">
        <v>30</v>
      </c>
      <c r="B31" s="12" t="str">
        <f t="shared" si="0"/>
        <v>IEC 62443-4-2 - 2.2 CR</v>
      </c>
      <c r="C31" s="14">
        <f>FR2_UC!D26</f>
        <v>0</v>
      </c>
      <c r="D31" s="15">
        <f>FR2_UC!D25</f>
        <v>0</v>
      </c>
      <c r="E31" s="12"/>
      <c r="F31" s="12" t="s">
        <v>104</v>
      </c>
      <c r="G31" s="12" t="str">
        <f>FR2_UC!A24</f>
        <v>CR</v>
      </c>
      <c r="H31" s="14" t="str">
        <f>FR2_UC!B24</f>
        <v>2.2</v>
      </c>
      <c r="I31" s="12" t="s">
        <v>105</v>
      </c>
      <c r="L31" s="14">
        <f>FR2_UC!J26</f>
        <v>1</v>
      </c>
    </row>
    <row r="32" spans="1:12" x14ac:dyDescent="0.35">
      <c r="A32" s="12">
        <v>31</v>
      </c>
      <c r="B32" s="12" t="str">
        <f t="shared" si="0"/>
        <v>IEC 62443-4-2 - 2.3 CR</v>
      </c>
      <c r="C32" s="14">
        <f>FR2_UC!D29</f>
        <v>0</v>
      </c>
      <c r="D32" s="15">
        <f>FR2_UC!D28</f>
        <v>0</v>
      </c>
      <c r="E32" s="12"/>
      <c r="F32" s="12" t="s">
        <v>104</v>
      </c>
      <c r="G32" s="12" t="str">
        <f>FR2_UC!A27</f>
        <v>CR</v>
      </c>
      <c r="H32" s="14" t="str">
        <f>FR2_UC!B27</f>
        <v>2.3</v>
      </c>
      <c r="I32" s="12" t="s">
        <v>105</v>
      </c>
      <c r="L32" s="14">
        <f>FR2_UC!J29</f>
        <v>0</v>
      </c>
    </row>
    <row r="33" spans="1:12" x14ac:dyDescent="0.35">
      <c r="A33" s="12">
        <v>32</v>
      </c>
      <c r="B33" s="12" t="str">
        <f t="shared" si="0"/>
        <v>IEC 62443-4-2 - 2.4 SAR</v>
      </c>
      <c r="C33" s="14">
        <f>FR2_UC!D32</f>
        <v>0</v>
      </c>
      <c r="D33" s="15">
        <f>FR2_UC!D31</f>
        <v>0</v>
      </c>
      <c r="E33" s="12"/>
      <c r="F33" s="12" t="s">
        <v>104</v>
      </c>
      <c r="G33" s="12" t="str">
        <f>FR2_UC!A30</f>
        <v>SAR</v>
      </c>
      <c r="H33" s="14" t="str">
        <f>FR2_UC!B30</f>
        <v>2.4</v>
      </c>
      <c r="I33" s="12" t="s">
        <v>105</v>
      </c>
      <c r="L33" s="14">
        <f>FR2_UC!J32</f>
        <v>1</v>
      </c>
    </row>
    <row r="34" spans="1:12" x14ac:dyDescent="0.35">
      <c r="A34" s="12">
        <v>33</v>
      </c>
      <c r="B34" s="12" t="str">
        <f t="shared" ref="B34:B65" si="1">CONCATENATE(F34," - ",H34," ",G34)</f>
        <v>IEC 62443-4-2 - 2.4.1 SAR RE</v>
      </c>
      <c r="C34" s="14">
        <f>FR2_UC!D35</f>
        <v>0</v>
      </c>
      <c r="D34" s="15">
        <f>FR2_UC!D34</f>
        <v>0</v>
      </c>
      <c r="E34" s="12"/>
      <c r="F34" s="12" t="s">
        <v>104</v>
      </c>
      <c r="G34" s="12" t="str">
        <f>FR2_UC!A33</f>
        <v>SAR RE</v>
      </c>
      <c r="H34" s="14" t="str">
        <f>FR2_UC!B33</f>
        <v>2.4.1</v>
      </c>
      <c r="I34" s="12" t="s">
        <v>105</v>
      </c>
      <c r="L34" s="14">
        <f>FR2_UC!J35</f>
        <v>2</v>
      </c>
    </row>
    <row r="35" spans="1:12" ht="145" x14ac:dyDescent="0.35">
      <c r="A35" s="12">
        <v>34</v>
      </c>
      <c r="B35" s="12" t="str">
        <f t="shared" si="1"/>
        <v>IEC 62443-4-2 - 2.4 EDR</v>
      </c>
      <c r="C35" s="14" t="str">
        <f>FR2_UC!D40</f>
        <v>Supported with some restrictions/partly needs clarifications</v>
      </c>
      <c r="D35" s="15" t="str">
        <f>FR2_UC!D37</f>
        <v xml:space="preserve">MCSR MP-5.1 is concentrating on Windows Malware scanning. This EDR 2.4 is more appropriate for Embedded devices.
Definition from 62443:
3.1.29 mobile code
program transferred between assets that can be executed without explicit installation by the
recipient
EXAMPLE JavaScript, VBScript, Java applets, ActiveX controls, Flash animations, Shockwave movies, and
Microsoft Office macros. </v>
      </c>
      <c r="E35" s="12"/>
      <c r="F35" s="12" t="s">
        <v>104</v>
      </c>
      <c r="G35" s="12" t="str">
        <f>FR2_UC!A36</f>
        <v>EDR</v>
      </c>
      <c r="H35" s="14" t="str">
        <f>FR2_UC!B36</f>
        <v>2.4</v>
      </c>
      <c r="I35" s="12" t="s">
        <v>105</v>
      </c>
      <c r="L35" s="14">
        <f>FR2_UC!J40</f>
        <v>1</v>
      </c>
    </row>
    <row r="36" spans="1:12" x14ac:dyDescent="0.35">
      <c r="A36" s="12">
        <v>35</v>
      </c>
      <c r="B36" s="12" t="str">
        <f t="shared" si="1"/>
        <v>IEC 62443-4-2 - 2.4.1 EDR RE</v>
      </c>
      <c r="C36" s="14" t="str">
        <f>FR2_UC!D43</f>
        <v>Supported with some restrictions/partly needs clarifications</v>
      </c>
      <c r="D36" s="15">
        <f>FR2_UC!D42</f>
        <v>0</v>
      </c>
      <c r="E36" s="12"/>
      <c r="F36" s="12" t="s">
        <v>104</v>
      </c>
      <c r="G36" s="12" t="str">
        <f>FR2_UC!A41</f>
        <v>EDR RE</v>
      </c>
      <c r="H36" s="14" t="str">
        <f>FR2_UC!B41</f>
        <v>2.4.1</v>
      </c>
      <c r="I36" s="12" t="s">
        <v>105</v>
      </c>
      <c r="L36" s="14">
        <f>FR2_UC!J43</f>
        <v>2</v>
      </c>
    </row>
    <row r="37" spans="1:12" x14ac:dyDescent="0.35">
      <c r="A37" s="12">
        <v>36</v>
      </c>
      <c r="B37" s="12" t="str">
        <f t="shared" si="1"/>
        <v>IEC 62443-4-2 - 2.4 HDR</v>
      </c>
      <c r="C37" s="14">
        <f>FR2_UC!D46</f>
        <v>0</v>
      </c>
      <c r="D37" s="15">
        <f>FR2_UC!D45</f>
        <v>0</v>
      </c>
      <c r="E37" s="12"/>
      <c r="F37" s="12" t="s">
        <v>104</v>
      </c>
      <c r="G37" s="12" t="str">
        <f>FR2_UC!A44</f>
        <v>HDR</v>
      </c>
      <c r="H37" s="14" t="str">
        <f>FR2_UC!B44</f>
        <v>2.4</v>
      </c>
      <c r="I37" s="12" t="s">
        <v>105</v>
      </c>
      <c r="L37" s="14">
        <f>FR2_UC!J46</f>
        <v>1</v>
      </c>
    </row>
    <row r="38" spans="1:12" x14ac:dyDescent="0.35">
      <c r="A38" s="12">
        <v>37</v>
      </c>
      <c r="B38" s="12" t="str">
        <f t="shared" si="1"/>
        <v>IEC 62443-4-2 - 2.4.1 HDR RE</v>
      </c>
      <c r="C38" s="14">
        <f>FR2_UC!D49</f>
        <v>0</v>
      </c>
      <c r="D38" s="15">
        <f>FR2_UC!D48</f>
        <v>0</v>
      </c>
      <c r="F38" s="12" t="s">
        <v>104</v>
      </c>
      <c r="G38" s="12" t="str">
        <f>FR2_UC!A47</f>
        <v>HDR RE</v>
      </c>
      <c r="H38" s="14" t="str">
        <f>FR2_UC!B47</f>
        <v>2.4.1</v>
      </c>
      <c r="I38" s="12" t="s">
        <v>105</v>
      </c>
      <c r="L38" s="14">
        <f>FR2_UC!J49</f>
        <v>2</v>
      </c>
    </row>
    <row r="39" spans="1:12" x14ac:dyDescent="0.35">
      <c r="A39" s="12">
        <v>38</v>
      </c>
      <c r="B39" s="12" t="str">
        <f t="shared" si="1"/>
        <v>IEC 62443-4-2 - 2.4 NDR</v>
      </c>
      <c r="C39" s="14">
        <f>FR2_UC!D52</f>
        <v>0</v>
      </c>
      <c r="D39" s="15">
        <f>FR2_UC!D51</f>
        <v>0</v>
      </c>
      <c r="E39" s="12"/>
      <c r="F39" s="12" t="s">
        <v>104</v>
      </c>
      <c r="G39" s="12" t="str">
        <f>FR2_UC!A50</f>
        <v>NDR</v>
      </c>
      <c r="H39" s="14" t="str">
        <f>FR2_UC!B50</f>
        <v>2.4</v>
      </c>
      <c r="I39" s="12" t="s">
        <v>105</v>
      </c>
      <c r="L39" s="14">
        <f>FR2_UC!J52</f>
        <v>1</v>
      </c>
    </row>
    <row r="40" spans="1:12" x14ac:dyDescent="0.35">
      <c r="A40" s="12">
        <v>39</v>
      </c>
      <c r="B40" s="12" t="str">
        <f t="shared" si="1"/>
        <v>IEC 62443-4-2 - 2.4.1 NDR RE</v>
      </c>
      <c r="C40" s="14">
        <f>FR2_UC!D55</f>
        <v>0</v>
      </c>
      <c r="D40" s="15">
        <f>FR2_UC!D54</f>
        <v>0</v>
      </c>
      <c r="F40" s="12" t="s">
        <v>104</v>
      </c>
      <c r="G40" s="12" t="str">
        <f>FR2_UC!A53</f>
        <v>NDR RE</v>
      </c>
      <c r="H40" s="14" t="str">
        <f>FR2_UC!B53</f>
        <v>2.4.1</v>
      </c>
      <c r="I40" s="12" t="s">
        <v>105</v>
      </c>
      <c r="L40" s="14">
        <f>FR2_UC!J55</f>
        <v>2</v>
      </c>
    </row>
    <row r="41" spans="1:12" x14ac:dyDescent="0.35">
      <c r="A41" s="12">
        <v>40</v>
      </c>
      <c r="B41" s="12" t="str">
        <f t="shared" si="1"/>
        <v>IEC 62443-4-2 - 2.5 CR</v>
      </c>
      <c r="C41" s="14">
        <f>FR2_UC!D58</f>
        <v>0</v>
      </c>
      <c r="D41" s="15">
        <f>FR2_UC!D57</f>
        <v>0</v>
      </c>
      <c r="E41" s="12"/>
      <c r="F41" s="12" t="s">
        <v>104</v>
      </c>
      <c r="G41" s="12" t="str">
        <f>FR2_UC!A56</f>
        <v>CR</v>
      </c>
      <c r="H41" s="14" t="str">
        <f>FR2_UC!B56</f>
        <v>2.5</v>
      </c>
      <c r="I41" s="12" t="s">
        <v>105</v>
      </c>
      <c r="L41" s="14">
        <f>FR2_UC!J58</f>
        <v>1</v>
      </c>
    </row>
    <row r="42" spans="1:12" x14ac:dyDescent="0.35">
      <c r="A42" s="12">
        <v>41</v>
      </c>
      <c r="B42" s="12" t="str">
        <f t="shared" si="1"/>
        <v>IEC 62443-4-2 - 2.6 CR</v>
      </c>
      <c r="C42" s="14">
        <f>FR2_UC!D61</f>
        <v>0</v>
      </c>
      <c r="D42" s="15">
        <f>FR2_UC!D60</f>
        <v>0</v>
      </c>
      <c r="E42" s="12"/>
      <c r="F42" s="12" t="s">
        <v>104</v>
      </c>
      <c r="G42" s="12" t="str">
        <f>FR2_UC!A59</f>
        <v>CR</v>
      </c>
      <c r="H42" s="14" t="str">
        <f>FR2_UC!B59</f>
        <v>2.6</v>
      </c>
      <c r="I42" s="12" t="s">
        <v>105</v>
      </c>
      <c r="L42" s="14">
        <f>FR2_UC!J61</f>
        <v>2</v>
      </c>
    </row>
    <row r="43" spans="1:12" x14ac:dyDescent="0.35">
      <c r="A43" s="12">
        <v>42</v>
      </c>
      <c r="B43" s="12" t="str">
        <f t="shared" si="1"/>
        <v>IEC 62443-4-2 - 2.7 CR</v>
      </c>
      <c r="C43" s="14">
        <f>FR2_UC!D64</f>
        <v>0</v>
      </c>
      <c r="D43" s="15">
        <f>FR2_UC!D63</f>
        <v>0</v>
      </c>
      <c r="E43" s="12"/>
      <c r="F43" s="12" t="s">
        <v>104</v>
      </c>
      <c r="G43" s="12" t="str">
        <f>FR2_UC!A62</f>
        <v>CR</v>
      </c>
      <c r="H43" s="14" t="str">
        <f>FR2_UC!B62</f>
        <v>2.7</v>
      </c>
      <c r="I43" s="12" t="s">
        <v>105</v>
      </c>
      <c r="L43" s="14">
        <f>FR2_UC!J64</f>
        <v>3</v>
      </c>
    </row>
    <row r="44" spans="1:12" x14ac:dyDescent="0.35">
      <c r="A44" s="12">
        <v>43</v>
      </c>
      <c r="B44" s="12" t="str">
        <f t="shared" si="1"/>
        <v>IEC 62443-4-2 - 2.8 CR</v>
      </c>
      <c r="C44" s="14">
        <f>FR2_UC!D67</f>
        <v>0</v>
      </c>
      <c r="D44" s="15">
        <f>FR2_UC!D66</f>
        <v>0</v>
      </c>
      <c r="E44" s="12"/>
      <c r="F44" s="12" t="s">
        <v>104</v>
      </c>
      <c r="G44" s="12" t="str">
        <f>FR2_UC!A65</f>
        <v>CR</v>
      </c>
      <c r="H44" s="14" t="str">
        <f>FR2_UC!B65</f>
        <v>2.8</v>
      </c>
      <c r="I44" s="12" t="s">
        <v>105</v>
      </c>
      <c r="L44" s="14">
        <f>FR2_UC!J67</f>
        <v>1</v>
      </c>
    </row>
    <row r="45" spans="1:12" x14ac:dyDescent="0.35">
      <c r="A45" s="12">
        <v>44</v>
      </c>
      <c r="B45" s="12" t="str">
        <f t="shared" si="1"/>
        <v>IEC 62443-4-2 - 2.9 CR</v>
      </c>
      <c r="C45" s="14">
        <f>FR2_UC!D70</f>
        <v>0</v>
      </c>
      <c r="D45" s="15">
        <f>FR2_UC!D69</f>
        <v>0</v>
      </c>
      <c r="E45" s="12"/>
      <c r="F45" s="12" t="s">
        <v>104</v>
      </c>
      <c r="G45" s="12" t="str">
        <f>FR2_UC!A68</f>
        <v>CR</v>
      </c>
      <c r="H45" s="14" t="str">
        <f>FR2_UC!B68</f>
        <v>2.9</v>
      </c>
      <c r="I45" s="12" t="s">
        <v>105</v>
      </c>
      <c r="L45" s="14">
        <f>FR2_UC!J70</f>
        <v>1</v>
      </c>
    </row>
    <row r="46" spans="1:12" x14ac:dyDescent="0.35">
      <c r="A46" s="12">
        <v>45</v>
      </c>
      <c r="B46" s="12" t="str">
        <f t="shared" si="1"/>
        <v>IEC 62443-4-2 - 2.9.1 CR RE</v>
      </c>
      <c r="C46" s="14">
        <f>FR2_UC!D73</f>
        <v>0</v>
      </c>
      <c r="D46" s="15">
        <f>FR2_UC!D72</f>
        <v>0</v>
      </c>
      <c r="E46" s="12"/>
      <c r="F46" s="12" t="s">
        <v>104</v>
      </c>
      <c r="G46" s="12" t="str">
        <f>FR2_UC!A71</f>
        <v>CR RE</v>
      </c>
      <c r="H46" s="14" t="str">
        <f>FR2_UC!B71</f>
        <v>2.9.1</v>
      </c>
      <c r="I46" s="12" t="s">
        <v>105</v>
      </c>
      <c r="L46" s="14">
        <f>FR2_UC!J73</f>
        <v>3</v>
      </c>
    </row>
    <row r="47" spans="1:12" x14ac:dyDescent="0.35">
      <c r="A47" s="12">
        <v>46</v>
      </c>
      <c r="B47" s="12" t="str">
        <f t="shared" si="1"/>
        <v>IEC 62443-4-2 - 2.10 CR</v>
      </c>
      <c r="C47" s="14">
        <f>FR2_UC!D76</f>
        <v>0</v>
      </c>
      <c r="D47" s="15">
        <f>FR2_UC!D75</f>
        <v>0</v>
      </c>
      <c r="E47" s="12"/>
      <c r="F47" s="12" t="s">
        <v>104</v>
      </c>
      <c r="G47" s="12" t="str">
        <f>FR2_UC!A74</f>
        <v>CR</v>
      </c>
      <c r="H47" s="14" t="str">
        <f>FR2_UC!B74</f>
        <v>2.10</v>
      </c>
      <c r="I47" s="12" t="s">
        <v>105</v>
      </c>
      <c r="L47" s="14">
        <f>FR2_UC!J76</f>
        <v>1</v>
      </c>
    </row>
    <row r="48" spans="1:12" x14ac:dyDescent="0.35">
      <c r="A48" s="12">
        <v>47</v>
      </c>
      <c r="B48" s="12" t="str">
        <f t="shared" si="1"/>
        <v>IEC 62443-4-2 - 2.11 CR</v>
      </c>
      <c r="C48" s="14">
        <f>FR2_UC!D79</f>
        <v>0</v>
      </c>
      <c r="D48" s="15">
        <f>FR2_UC!D78</f>
        <v>0</v>
      </c>
      <c r="F48" s="12" t="s">
        <v>104</v>
      </c>
      <c r="G48" s="12" t="str">
        <f>FR2_UC!A77</f>
        <v>CR</v>
      </c>
      <c r="H48" s="14" t="str">
        <f>FR2_UC!B77</f>
        <v>2.11</v>
      </c>
      <c r="I48" s="12" t="s">
        <v>105</v>
      </c>
      <c r="L48" s="14">
        <f>FR2_UC!J79</f>
        <v>1</v>
      </c>
    </row>
    <row r="49" spans="1:12" x14ac:dyDescent="0.35">
      <c r="A49" s="12">
        <v>48</v>
      </c>
      <c r="B49" s="12" t="str">
        <f t="shared" si="1"/>
        <v>IEC 62443-4-2 - 2.11.1 CR RE</v>
      </c>
      <c r="C49" s="14">
        <f>FR2_UC!D82</f>
        <v>0</v>
      </c>
      <c r="D49" s="15">
        <f>FR2_UC!D81</f>
        <v>0</v>
      </c>
      <c r="E49" s="12"/>
      <c r="F49" s="12" t="s">
        <v>104</v>
      </c>
      <c r="G49" s="12" t="str">
        <f>FR2_UC!A80</f>
        <v>CR RE</v>
      </c>
      <c r="H49" s="14" t="str">
        <f>FR2_UC!B80</f>
        <v>2.11.1</v>
      </c>
      <c r="I49" s="12" t="s">
        <v>105</v>
      </c>
      <c r="L49" s="14">
        <f>FR2_UC!J82</f>
        <v>2</v>
      </c>
    </row>
    <row r="50" spans="1:12" x14ac:dyDescent="0.35">
      <c r="A50" s="12">
        <v>49</v>
      </c>
      <c r="B50" s="12" t="str">
        <f t="shared" si="1"/>
        <v>IEC 62443-4-2 - 2.11.2 CR RE</v>
      </c>
      <c r="C50" s="14">
        <f>FR2_UC!D85</f>
        <v>0</v>
      </c>
      <c r="D50" s="15">
        <f>FR2_UC!D84</f>
        <v>0</v>
      </c>
      <c r="E50" s="12"/>
      <c r="F50" s="12" t="s">
        <v>104</v>
      </c>
      <c r="G50" s="12" t="str">
        <f>FR2_UC!A83</f>
        <v>CR RE</v>
      </c>
      <c r="H50" s="14" t="str">
        <f>FR2_UC!B83</f>
        <v>2.11.2</v>
      </c>
      <c r="I50" s="12" t="s">
        <v>105</v>
      </c>
      <c r="L50" s="14">
        <f>FR2_UC!J85</f>
        <v>4</v>
      </c>
    </row>
    <row r="51" spans="1:12" x14ac:dyDescent="0.35">
      <c r="A51" s="12">
        <v>50</v>
      </c>
      <c r="B51" s="12" t="str">
        <f t="shared" si="1"/>
        <v>IEC 62443-4-2 - 2.12 CR</v>
      </c>
      <c r="C51" s="14">
        <f>FR2_UC!D88</f>
        <v>0</v>
      </c>
      <c r="D51" s="15">
        <f>FR2_UC!D87</f>
        <v>0</v>
      </c>
      <c r="F51" s="12" t="s">
        <v>104</v>
      </c>
      <c r="G51" s="12" t="str">
        <f>FR2_UC!A86</f>
        <v>CR</v>
      </c>
      <c r="H51" s="14" t="str">
        <f>FR2_UC!B86</f>
        <v>2.12</v>
      </c>
      <c r="I51" s="12" t="s">
        <v>105</v>
      </c>
      <c r="L51" s="14">
        <f>FR2_UC!J88</f>
        <v>1</v>
      </c>
    </row>
    <row r="52" spans="1:12" x14ac:dyDescent="0.35">
      <c r="A52" s="12">
        <v>51</v>
      </c>
      <c r="B52" s="12" t="str">
        <f t="shared" si="1"/>
        <v>IEC 62443-4-2 - 2.12.1 CR RE</v>
      </c>
      <c r="C52" s="14">
        <f>FR2_UC!D91</f>
        <v>0</v>
      </c>
      <c r="D52" s="15">
        <f>FR2_UC!D90</f>
        <v>0</v>
      </c>
      <c r="E52" s="12"/>
      <c r="F52" s="12" t="s">
        <v>104</v>
      </c>
      <c r="G52" s="12" t="str">
        <f>FR2_UC!A89</f>
        <v>CR RE</v>
      </c>
      <c r="H52" s="14" t="str">
        <f>FR2_UC!B89</f>
        <v>2.12.1</v>
      </c>
      <c r="I52" s="12" t="s">
        <v>105</v>
      </c>
      <c r="L52" s="14">
        <f>FR2_UC!J91</f>
        <v>4</v>
      </c>
    </row>
    <row r="53" spans="1:12" ht="29" x14ac:dyDescent="0.35">
      <c r="A53" s="12">
        <v>52</v>
      </c>
      <c r="B53" s="12" t="str">
        <f t="shared" si="1"/>
        <v>IEC 62443-4-2 - 2.13 EDR</v>
      </c>
      <c r="C53" s="14" t="str">
        <f>FR2_UC!D94</f>
        <v>Supported</v>
      </c>
      <c r="D53" s="15" t="str">
        <f>FR2_UC!D93</f>
        <v>MCSR 1.0 is more strict as to not allow debugging interfaces at all, also software debugging symbols are included in MCSR 1.0</v>
      </c>
      <c r="E53" s="12"/>
      <c r="F53" s="12" t="s">
        <v>104</v>
      </c>
      <c r="G53" s="12" t="str">
        <f>FR2_UC!A92</f>
        <v>EDR</v>
      </c>
      <c r="H53" s="14" t="str">
        <f>FR2_UC!B92</f>
        <v>2.13</v>
      </c>
      <c r="I53" s="12" t="s">
        <v>105</v>
      </c>
      <c r="L53" s="14">
        <f>FR2_UC!J94</f>
        <v>2</v>
      </c>
    </row>
    <row r="54" spans="1:12" x14ac:dyDescent="0.35">
      <c r="A54" s="12">
        <v>53</v>
      </c>
      <c r="B54" s="12" t="str">
        <f t="shared" si="1"/>
        <v>IEC 62443-4-2 - 2.13.1 EDR RE</v>
      </c>
      <c r="C54" s="14">
        <f>FR2_UC!D97</f>
        <v>0</v>
      </c>
      <c r="D54" s="15">
        <f>FR2_UC!D96</f>
        <v>0</v>
      </c>
      <c r="E54" s="12"/>
      <c r="F54" s="12" t="s">
        <v>104</v>
      </c>
      <c r="G54" s="12" t="str">
        <f>FR2_UC!A95</f>
        <v>EDR RE</v>
      </c>
      <c r="H54" s="14" t="str">
        <f>FR2_UC!B95</f>
        <v>2.13.1</v>
      </c>
      <c r="I54" s="12" t="s">
        <v>105</v>
      </c>
      <c r="L54" s="14">
        <f>FR2_UC!J97</f>
        <v>3</v>
      </c>
    </row>
    <row r="55" spans="1:12" ht="29" x14ac:dyDescent="0.35">
      <c r="A55" s="12">
        <v>54</v>
      </c>
      <c r="B55" s="12" t="str">
        <f t="shared" si="1"/>
        <v>IEC 62443-4-2 - 2.13 HDR</v>
      </c>
      <c r="C55" s="14">
        <f>FR2_UC!D100</f>
        <v>0</v>
      </c>
      <c r="D55" s="15" t="str">
        <f>FR2_UC!D99</f>
        <v>MCSR 1.0 is more strict as to not allow debugging interfaces at all, also software debugging symbols are included in MCSR 1.0</v>
      </c>
      <c r="E55" s="12"/>
      <c r="F55" s="12" t="s">
        <v>104</v>
      </c>
      <c r="G55" s="12" t="str">
        <f>FR2_UC!A98</f>
        <v>HDR</v>
      </c>
      <c r="H55" s="14" t="str">
        <f>FR2_UC!B98</f>
        <v>2.13</v>
      </c>
      <c r="I55" s="12" t="s">
        <v>105</v>
      </c>
      <c r="L55" s="14">
        <f>FR2_UC!J100</f>
        <v>2</v>
      </c>
    </row>
    <row r="56" spans="1:12" x14ac:dyDescent="0.35">
      <c r="A56" s="12">
        <v>55</v>
      </c>
      <c r="B56" s="12" t="str">
        <f t="shared" si="1"/>
        <v>IEC 62443-4-2 - 2.13.1 HDR RE</v>
      </c>
      <c r="C56" s="14">
        <f>FR2_UC!D103</f>
        <v>0</v>
      </c>
      <c r="D56" s="15">
        <f>FR2_UC!D102</f>
        <v>0</v>
      </c>
      <c r="E56" s="12"/>
      <c r="F56" s="12" t="s">
        <v>104</v>
      </c>
      <c r="G56" s="12" t="str">
        <f>FR2_UC!A101</f>
        <v>HDR RE</v>
      </c>
      <c r="H56" s="14" t="str">
        <f>FR2_UC!B101</f>
        <v>2.13.1</v>
      </c>
      <c r="I56" s="12" t="s">
        <v>105</v>
      </c>
      <c r="L56" s="14">
        <f>FR2_UC!J103</f>
        <v>3</v>
      </c>
    </row>
    <row r="57" spans="1:12" ht="29" x14ac:dyDescent="0.35">
      <c r="A57" s="12">
        <v>56</v>
      </c>
      <c r="B57" s="12" t="str">
        <f t="shared" si="1"/>
        <v>IEC 62443-4-2 - 2.13 NDR</v>
      </c>
      <c r="C57" s="14">
        <f>FR2_UC!D106</f>
        <v>0</v>
      </c>
      <c r="D57" s="15" t="str">
        <f>FR2_UC!D105</f>
        <v>MCSR 1.0 is more strict as to not allow debugging interfaces at all, also software debugging symbols are included in MCSR 1.0</v>
      </c>
      <c r="E57" s="12"/>
      <c r="F57" s="12" t="s">
        <v>104</v>
      </c>
      <c r="G57" s="12" t="str">
        <f>FR2_UC!A104</f>
        <v>NDR</v>
      </c>
      <c r="H57" s="14" t="str">
        <f>FR2_UC!B104</f>
        <v>2.13</v>
      </c>
      <c r="I57" s="12" t="s">
        <v>105</v>
      </c>
      <c r="L57" s="14">
        <f>FR2_UC!J106</f>
        <v>2</v>
      </c>
    </row>
    <row r="58" spans="1:12" x14ac:dyDescent="0.35">
      <c r="A58" s="12">
        <v>57</v>
      </c>
      <c r="B58" s="12" t="str">
        <f t="shared" si="1"/>
        <v>IEC 62443-4-2 - 2.13.1 NDR RE</v>
      </c>
      <c r="C58" s="14">
        <f>FR2_UC!D109</f>
        <v>0</v>
      </c>
      <c r="D58" s="15">
        <f>FR2_UC!D108</f>
        <v>0</v>
      </c>
      <c r="E58" s="12"/>
      <c r="F58" s="12" t="s">
        <v>104</v>
      </c>
      <c r="G58" s="12" t="str">
        <f>FR2_UC!A107</f>
        <v>NDR RE</v>
      </c>
      <c r="H58" s="14" t="str">
        <f>FR2_UC!B107</f>
        <v>2.13.1</v>
      </c>
      <c r="I58" s="12" t="s">
        <v>105</v>
      </c>
      <c r="L58" s="14">
        <f>FR2_UC!J109</f>
        <v>3</v>
      </c>
    </row>
    <row r="59" spans="1:12" x14ac:dyDescent="0.35">
      <c r="A59" s="12">
        <v>58</v>
      </c>
      <c r="B59" s="12" t="str">
        <f t="shared" si="1"/>
        <v>IEC 62443-4-2 - 3.1 CR</v>
      </c>
      <c r="C59" s="14" t="str">
        <f>FR3_SI!D11</f>
        <v>Supported</v>
      </c>
      <c r="D59" s="15">
        <f>FR3_SI!D10</f>
        <v>0</v>
      </c>
      <c r="E59" s="12"/>
      <c r="F59" s="12" t="s">
        <v>104</v>
      </c>
      <c r="G59" s="12" t="str">
        <f>FR3_SI!A9</f>
        <v>CR</v>
      </c>
      <c r="H59" s="14" t="str">
        <f>FR3_SI!B9</f>
        <v>3.1</v>
      </c>
      <c r="I59" s="12" t="s">
        <v>105</v>
      </c>
      <c r="L59" s="14">
        <f>FR3_SI!J11</f>
        <v>1</v>
      </c>
    </row>
    <row r="60" spans="1:12" ht="29" x14ac:dyDescent="0.35">
      <c r="A60" s="12">
        <v>59</v>
      </c>
      <c r="B60" s="12" t="str">
        <f t="shared" si="1"/>
        <v>IEC 62443-4-2 - 3.1.1 CR RE</v>
      </c>
      <c r="C60" s="14">
        <f>FR3_SI!D14</f>
        <v>0</v>
      </c>
      <c r="D60" s="15" t="str">
        <f>FR3_SI!D13</f>
        <v>MP-15 talks about "secure protocols" which we usually interpret as at least providing integrity and authenticity.</v>
      </c>
      <c r="E60" s="12"/>
      <c r="F60" s="12" t="s">
        <v>104</v>
      </c>
      <c r="G60" s="12" t="str">
        <f>FR3_SI!A12</f>
        <v>CR RE</v>
      </c>
      <c r="H60" s="14" t="str">
        <f>FR3_SI!B12</f>
        <v>3.1.1</v>
      </c>
      <c r="I60" s="12" t="s">
        <v>105</v>
      </c>
      <c r="L60" s="14">
        <f>FR3_SI!J14</f>
        <v>2</v>
      </c>
    </row>
    <row r="61" spans="1:12" x14ac:dyDescent="0.35">
      <c r="A61" s="12">
        <v>60</v>
      </c>
      <c r="B61" s="12" t="str">
        <f t="shared" si="1"/>
        <v>IEC 62443-4-2 - 3.2 SAR</v>
      </c>
      <c r="C61" s="14">
        <f>FR3_SI!D17</f>
        <v>0</v>
      </c>
      <c r="D61" s="15">
        <f>FR3_SI!D16</f>
        <v>0</v>
      </c>
      <c r="E61" s="12"/>
      <c r="F61" s="12" t="s">
        <v>104</v>
      </c>
      <c r="G61" s="12" t="str">
        <f>FR3_SI!A15</f>
        <v>SAR</v>
      </c>
      <c r="H61" s="14" t="str">
        <f>FR3_SI!B15</f>
        <v>3.2</v>
      </c>
      <c r="I61" s="12" t="s">
        <v>105</v>
      </c>
      <c r="L61" s="14">
        <f>FR3_SI!J17</f>
        <v>1</v>
      </c>
    </row>
    <row r="62" spans="1:12" ht="29" x14ac:dyDescent="0.35">
      <c r="A62" s="12">
        <v>61</v>
      </c>
      <c r="B62" s="12" t="str">
        <f t="shared" si="1"/>
        <v>IEC 62443-4-2 - 3.2  EDR</v>
      </c>
      <c r="C62" s="14" t="str">
        <f>FR3_SI!D20</f>
        <v>Supported with some restrictions/partly needs clarifications</v>
      </c>
      <c r="D62" s="15" t="str">
        <f>FR3_SI!D19</f>
        <v>MCSR for products just require scanning of SW packages
Malware scanning is different from authorization of software to be executed!</v>
      </c>
      <c r="E62" s="12"/>
      <c r="F62" s="12" t="s">
        <v>104</v>
      </c>
      <c r="G62" s="12" t="str">
        <f>FR3_SI!A18</f>
        <v>EDR</v>
      </c>
      <c r="H62" s="14" t="str">
        <f>FR3_SI!B18</f>
        <v xml:space="preserve">3.2 </v>
      </c>
      <c r="I62" s="12" t="s">
        <v>105</v>
      </c>
      <c r="L62" s="14">
        <f>FR3_SI!J20</f>
        <v>1</v>
      </c>
    </row>
    <row r="63" spans="1:12" x14ac:dyDescent="0.35">
      <c r="A63" s="12">
        <v>62</v>
      </c>
      <c r="B63" s="12" t="str">
        <f t="shared" si="1"/>
        <v>IEC 62443-4-2 - 3.2 HDR</v>
      </c>
      <c r="C63" s="14">
        <f>FR3_SI!D23</f>
        <v>0</v>
      </c>
      <c r="D63" s="15">
        <f>FR3_SI!D22</f>
        <v>0</v>
      </c>
      <c r="E63" s="12"/>
      <c r="F63" s="12" t="s">
        <v>104</v>
      </c>
      <c r="G63" s="12" t="str">
        <f>FR3_SI!A21</f>
        <v>HDR</v>
      </c>
      <c r="H63" s="14" t="str">
        <f>FR3_SI!B21</f>
        <v>3.2</v>
      </c>
      <c r="I63" s="12" t="s">
        <v>105</v>
      </c>
      <c r="L63" s="14">
        <f>FR3_SI!J23</f>
        <v>1</v>
      </c>
    </row>
    <row r="64" spans="1:12" x14ac:dyDescent="0.35">
      <c r="A64" s="12">
        <v>63</v>
      </c>
      <c r="B64" s="12" t="str">
        <f t="shared" si="1"/>
        <v>IEC 62443-4-2 - 3.2.1 HDR RE</v>
      </c>
      <c r="C64" s="14">
        <f>FR3_SI!D26</f>
        <v>0</v>
      </c>
      <c r="D64" s="15">
        <f>FR3_SI!D25</f>
        <v>0</v>
      </c>
      <c r="F64" s="12" t="s">
        <v>104</v>
      </c>
      <c r="G64" s="12" t="str">
        <f>FR3_SI!A24</f>
        <v>HDR RE</v>
      </c>
      <c r="H64" s="14" t="str">
        <f>FR3_SI!B24</f>
        <v>3.2.1</v>
      </c>
      <c r="I64" s="12" t="s">
        <v>105</v>
      </c>
      <c r="L64" s="14">
        <f>FR3_SI!J26</f>
        <v>2</v>
      </c>
    </row>
    <row r="65" spans="1:12" x14ac:dyDescent="0.35">
      <c r="A65" s="12">
        <v>64</v>
      </c>
      <c r="B65" s="12" t="str">
        <f t="shared" si="1"/>
        <v>IEC 62443-4-2 - 3.2 NDR</v>
      </c>
      <c r="C65" s="14">
        <f>FR3_SI!D29</f>
        <v>0</v>
      </c>
      <c r="D65" s="15">
        <f>FR3_SI!D28</f>
        <v>0</v>
      </c>
      <c r="E65" s="12"/>
      <c r="F65" s="12" t="s">
        <v>104</v>
      </c>
      <c r="G65" s="12" t="str">
        <f>FR3_SI!A27</f>
        <v>NDR</v>
      </c>
      <c r="H65" s="14" t="str">
        <f>FR3_SI!B27</f>
        <v>3.2</v>
      </c>
      <c r="I65" s="12" t="s">
        <v>105</v>
      </c>
      <c r="L65" s="14">
        <f>FR3_SI!J29</f>
        <v>1</v>
      </c>
    </row>
    <row r="66" spans="1:12" x14ac:dyDescent="0.35">
      <c r="A66" s="12">
        <v>65</v>
      </c>
      <c r="B66" s="12" t="str">
        <f t="shared" ref="B66:B97" si="2">CONCATENATE(F66," - ",H66," ",G66)</f>
        <v>IEC 62443-4-2 - 3.3 CR</v>
      </c>
      <c r="C66" s="14">
        <f>FR3_SI!D32</f>
        <v>0</v>
      </c>
      <c r="D66" s="15" t="str">
        <f>FR3_SI!D31</f>
        <v>MP-07 is about documentation, not about components performing something</v>
      </c>
      <c r="E66" s="12"/>
      <c r="F66" s="12" t="s">
        <v>104</v>
      </c>
      <c r="G66" s="12" t="str">
        <f>FR3_SI!A30</f>
        <v>CR</v>
      </c>
      <c r="H66" s="14" t="str">
        <f>FR3_SI!B30</f>
        <v>3.3</v>
      </c>
      <c r="I66" s="12" t="s">
        <v>105</v>
      </c>
      <c r="L66" s="14">
        <f>FR3_SI!J32</f>
        <v>1</v>
      </c>
    </row>
    <row r="67" spans="1:12" x14ac:dyDescent="0.35">
      <c r="A67" s="12">
        <v>66</v>
      </c>
      <c r="B67" s="12" t="str">
        <f t="shared" si="2"/>
        <v>IEC 62443-4-2 - 3.3.1 CR RE</v>
      </c>
      <c r="C67" s="14">
        <f>FR3_SI!D35</f>
        <v>0</v>
      </c>
      <c r="D67" s="15">
        <f>FR3_SI!D34</f>
        <v>0</v>
      </c>
      <c r="F67" s="12" t="s">
        <v>104</v>
      </c>
      <c r="G67" s="12" t="str">
        <f>FR3_SI!A33</f>
        <v>CR RE</v>
      </c>
      <c r="H67" s="14" t="str">
        <f>FR3_SI!B33</f>
        <v>3.3.1</v>
      </c>
      <c r="I67" s="12" t="s">
        <v>105</v>
      </c>
      <c r="L67" s="14">
        <f>FR3_SI!J35</f>
        <v>4</v>
      </c>
    </row>
    <row r="68" spans="1:12" ht="58" x14ac:dyDescent="0.35">
      <c r="A68" s="12">
        <v>67</v>
      </c>
      <c r="B68" s="12" t="str">
        <f t="shared" si="2"/>
        <v>IEC 62443-4-2 - 3.4 CR</v>
      </c>
      <c r="C68" s="14" t="str">
        <f>FR3_SI!D43</f>
        <v>Supported</v>
      </c>
      <c r="D68" s="15" t="str">
        <f>FR3_SI!D37</f>
        <v>MCSR MP-13.2 focuses on software packages, does not address "configuration and other information" and does not require reporting. Software must include updates as well.
MP-7 is on documentation.</v>
      </c>
      <c r="E68" s="12"/>
      <c r="F68" s="12" t="s">
        <v>104</v>
      </c>
      <c r="G68" s="12" t="str">
        <f>FR3_SI!A36</f>
        <v>CR</v>
      </c>
      <c r="H68" s="14" t="str">
        <f>FR3_SI!B36</f>
        <v>3.4</v>
      </c>
      <c r="I68" s="12" t="s">
        <v>105</v>
      </c>
      <c r="L68" s="14">
        <f>FR3_SI!J43</f>
        <v>1</v>
      </c>
    </row>
    <row r="69" spans="1:12" x14ac:dyDescent="0.35">
      <c r="A69" s="12">
        <v>68</v>
      </c>
      <c r="B69" s="12" t="str">
        <f t="shared" si="2"/>
        <v>IEC 62443-4-2 - 3.4.1 CR RE</v>
      </c>
      <c r="C69" s="14" t="str">
        <f>FR3_SI!D51</f>
        <v>Supported</v>
      </c>
      <c r="D69" s="15" t="e">
        <f>FR3_SI!#REF!</f>
        <v>#REF!</v>
      </c>
      <c r="F69" s="12" t="s">
        <v>104</v>
      </c>
      <c r="G69" s="12" t="str">
        <f>FR3_SI!A44</f>
        <v>CR RE</v>
      </c>
      <c r="H69" s="14" t="str">
        <f>FR3_SI!B44</f>
        <v>3.4.1</v>
      </c>
      <c r="I69" s="12" t="s">
        <v>105</v>
      </c>
      <c r="L69" s="14">
        <f>FR3_SI!J51</f>
        <v>2</v>
      </c>
    </row>
    <row r="70" spans="1:12" x14ac:dyDescent="0.35">
      <c r="A70" s="12">
        <v>69</v>
      </c>
      <c r="B70" s="12" t="str">
        <f t="shared" si="2"/>
        <v>IEC 62443-4-2 - 3.4.2 CR RE</v>
      </c>
      <c r="C70" s="14">
        <f>FR3_SI!D54</f>
        <v>0</v>
      </c>
      <c r="D70" s="15">
        <f>FR3_SI!D53</f>
        <v>0</v>
      </c>
      <c r="E70" s="12"/>
      <c r="F70" s="12" t="s">
        <v>104</v>
      </c>
      <c r="G70" s="12" t="str">
        <f>FR3_SI!A52</f>
        <v>CR RE</v>
      </c>
      <c r="H70" s="14" t="str">
        <f>FR3_SI!B52</f>
        <v>3.4.2</v>
      </c>
      <c r="I70" s="12" t="s">
        <v>105</v>
      </c>
      <c r="L70" s="14">
        <f>FR3_SI!J54</f>
        <v>3</v>
      </c>
    </row>
    <row r="71" spans="1:12" ht="43.5" x14ac:dyDescent="0.35">
      <c r="A71" s="12">
        <v>70</v>
      </c>
      <c r="B71" s="12" t="str">
        <f t="shared" si="2"/>
        <v>IEC 62443-4-2 - 3.5 CR</v>
      </c>
      <c r="C71" s="14" t="str">
        <f>FR3_SI!D57</f>
        <v>Supported</v>
      </c>
      <c r="D71" s="15" t="str">
        <f>FR3_SI!D56</f>
        <v>Partially addressed by DSAC, should this be kept or not? Could give a wrong signal… an equivalent is in security assessment list. Suggestion is to keep it, but it may be perceived as raising the bar…</v>
      </c>
      <c r="E71" s="12"/>
      <c r="F71" s="12" t="s">
        <v>104</v>
      </c>
      <c r="G71" s="12" t="str">
        <f>FR3_SI!A55</f>
        <v>CR</v>
      </c>
      <c r="H71" s="14" t="str">
        <f>FR3_SI!B55</f>
        <v>3.5</v>
      </c>
      <c r="I71" s="12" t="s">
        <v>105</v>
      </c>
      <c r="L71" s="14">
        <f>FR3_SI!J57</f>
        <v>1</v>
      </c>
    </row>
    <row r="72" spans="1:12" x14ac:dyDescent="0.35">
      <c r="A72" s="12">
        <v>71</v>
      </c>
      <c r="B72" s="12" t="str">
        <f t="shared" si="2"/>
        <v>IEC 62443-4-2 - 3.6 CR</v>
      </c>
      <c r="C72" s="14">
        <f>FR3_SI!D60</f>
        <v>0</v>
      </c>
      <c r="D72" s="15">
        <f>FR3_SI!D59</f>
        <v>0</v>
      </c>
      <c r="F72" s="12" t="s">
        <v>104</v>
      </c>
      <c r="G72" s="12" t="str">
        <f>FR3_SI!A58</f>
        <v>CR</v>
      </c>
      <c r="H72" s="14" t="str">
        <f>FR3_SI!B58</f>
        <v>3.6</v>
      </c>
      <c r="I72" s="12" t="s">
        <v>105</v>
      </c>
      <c r="L72" s="14">
        <f>FR3_SI!J60</f>
        <v>1</v>
      </c>
    </row>
    <row r="73" spans="1:12" x14ac:dyDescent="0.35">
      <c r="A73" s="12">
        <v>72</v>
      </c>
      <c r="B73" s="12" t="str">
        <f t="shared" si="2"/>
        <v>IEC 62443-4-2 - 3.7 CR</v>
      </c>
      <c r="C73" s="14" t="str">
        <f>FR3_SI!D63</f>
        <v>Supported</v>
      </c>
      <c r="D73" s="15">
        <f>FR3_SI!D62</f>
        <v>0</v>
      </c>
      <c r="E73" s="12"/>
      <c r="F73" s="12" t="s">
        <v>104</v>
      </c>
      <c r="G73" s="12" t="str">
        <f>FR3_SI!A61</f>
        <v>CR</v>
      </c>
      <c r="H73" s="14" t="str">
        <f>FR3_SI!B61</f>
        <v>3.7</v>
      </c>
      <c r="I73" s="12" t="s">
        <v>105</v>
      </c>
      <c r="L73" s="14">
        <f>FR3_SI!J63</f>
        <v>1</v>
      </c>
    </row>
    <row r="74" spans="1:12" x14ac:dyDescent="0.35">
      <c r="A74" s="12">
        <v>73</v>
      </c>
      <c r="B74" s="12" t="str">
        <f t="shared" si="2"/>
        <v>IEC 62443-4-2 - 3.8 CR</v>
      </c>
      <c r="C74" s="14" t="str">
        <f>FR3_SI!D68</f>
        <v>Supported</v>
      </c>
      <c r="D74" s="15" t="str">
        <f>FR3_SI!D65</f>
        <v>Relates to input validation / communication robustness, as well as secure protocols</v>
      </c>
      <c r="E74" s="12"/>
      <c r="F74" s="12" t="s">
        <v>104</v>
      </c>
      <c r="G74" s="12" t="str">
        <f>FR3_SI!A64</f>
        <v>CR</v>
      </c>
      <c r="H74" s="14" t="str">
        <f>FR3_SI!B64</f>
        <v>3.8</v>
      </c>
      <c r="I74" s="12" t="s">
        <v>105</v>
      </c>
      <c r="L74" s="14">
        <f>FR3_SI!J68</f>
        <v>2</v>
      </c>
    </row>
    <row r="75" spans="1:12" x14ac:dyDescent="0.35">
      <c r="A75" s="12">
        <v>74</v>
      </c>
      <c r="B75" s="12" t="str">
        <f t="shared" si="2"/>
        <v>IEC 62443-4-2 - 3.9 CR</v>
      </c>
      <c r="C75" s="14">
        <f>FR3_SI!D71</f>
        <v>0</v>
      </c>
      <c r="D75" s="15">
        <f>FR3_SI!D70</f>
        <v>0</v>
      </c>
      <c r="E75" s="12"/>
      <c r="F75" s="12" t="s">
        <v>104</v>
      </c>
      <c r="G75" s="12" t="str">
        <f>FR3_SI!A69</f>
        <v>CR</v>
      </c>
      <c r="H75" s="14" t="str">
        <f>FR3_SI!B69</f>
        <v>3.9</v>
      </c>
      <c r="I75" s="12" t="s">
        <v>105</v>
      </c>
      <c r="L75" s="14">
        <f>FR3_SI!J71</f>
        <v>2</v>
      </c>
    </row>
    <row r="76" spans="1:12" x14ac:dyDescent="0.35">
      <c r="A76" s="12">
        <v>75</v>
      </c>
      <c r="B76" s="12" t="str">
        <f t="shared" si="2"/>
        <v>IEC 62443-4-2 - 3.9.1 CR RE</v>
      </c>
      <c r="C76" s="14">
        <f>FR3_SI!D74</f>
        <v>0</v>
      </c>
      <c r="D76" s="15">
        <f>FR3_SI!D73</f>
        <v>0</v>
      </c>
      <c r="E76" s="12"/>
      <c r="F76" s="12" t="s">
        <v>104</v>
      </c>
      <c r="G76" s="12" t="str">
        <f>FR3_SI!A72</f>
        <v>CR RE</v>
      </c>
      <c r="H76" s="14" t="str">
        <f>FR3_SI!B72</f>
        <v>3.9.1</v>
      </c>
      <c r="I76" s="12" t="s">
        <v>105</v>
      </c>
      <c r="L76" s="14">
        <f>FR3_SI!J74</f>
        <v>4</v>
      </c>
    </row>
    <row r="77" spans="1:12" x14ac:dyDescent="0.35">
      <c r="A77" s="12">
        <v>76</v>
      </c>
      <c r="B77" s="12" t="str">
        <f t="shared" si="2"/>
        <v>IEC 62443-4-2 - 3.10 EDR</v>
      </c>
      <c r="C77" s="14" t="str">
        <f>FR3_SI!D77</f>
        <v>Supported</v>
      </c>
      <c r="D77" s="15">
        <f>FR3_SI!D76</f>
        <v>0</v>
      </c>
      <c r="E77" s="12"/>
      <c r="F77" s="12" t="s">
        <v>104</v>
      </c>
      <c r="G77" s="12" t="str">
        <f>FR3_SI!A75</f>
        <v>EDR</v>
      </c>
      <c r="H77" s="14" t="str">
        <f>FR3_SI!B75</f>
        <v>3.10</v>
      </c>
      <c r="I77" s="12" t="s">
        <v>105</v>
      </c>
      <c r="L77" s="14">
        <f>FR3_SI!J77</f>
        <v>1</v>
      </c>
    </row>
    <row r="78" spans="1:12" ht="29" x14ac:dyDescent="0.35">
      <c r="A78" s="12">
        <v>77</v>
      </c>
      <c r="B78" s="12" t="str">
        <f t="shared" si="2"/>
        <v>IEC 62443-4-2 - 3.10.1 EDR RE</v>
      </c>
      <c r="C78" s="14" t="str">
        <f>FR3_SI!D80</f>
        <v>Supported with some restrictions/partly needs clarifications</v>
      </c>
      <c r="D78" s="15" t="str">
        <f>FR3_SI!D79</f>
        <v>MCSR would allow to provide a hash code to provide integrity and authenticity(provided the hash code was downloaded from ABB.com)</v>
      </c>
      <c r="E78" s="12"/>
      <c r="F78" s="12" t="s">
        <v>104</v>
      </c>
      <c r="G78" s="12" t="str">
        <f>FR3_SI!A78</f>
        <v>EDR RE</v>
      </c>
      <c r="H78" s="14" t="str">
        <f>FR3_SI!B78</f>
        <v>3.10.1</v>
      </c>
      <c r="I78" s="12" t="s">
        <v>105</v>
      </c>
      <c r="L78" s="14">
        <f>FR3_SI!J80</f>
        <v>2</v>
      </c>
    </row>
    <row r="79" spans="1:12" x14ac:dyDescent="0.35">
      <c r="A79" s="12">
        <v>78</v>
      </c>
      <c r="B79" s="12" t="str">
        <f t="shared" si="2"/>
        <v>IEC 62443-4-2 - 3.10 HDR</v>
      </c>
      <c r="C79" s="14">
        <f>FR3_SI!D83</f>
        <v>0</v>
      </c>
      <c r="D79" s="15">
        <f>FR3_SI!D82</f>
        <v>0</v>
      </c>
      <c r="E79" s="12"/>
      <c r="F79" s="12" t="s">
        <v>104</v>
      </c>
      <c r="G79" s="12" t="str">
        <f>FR3_SI!A81</f>
        <v>HDR</v>
      </c>
      <c r="H79" s="14" t="str">
        <f>FR3_SI!B81</f>
        <v>3.10</v>
      </c>
      <c r="I79" s="12" t="s">
        <v>105</v>
      </c>
      <c r="L79" s="14">
        <f>FR3_SI!J83</f>
        <v>1</v>
      </c>
    </row>
    <row r="80" spans="1:12" x14ac:dyDescent="0.35">
      <c r="A80" s="12">
        <v>79</v>
      </c>
      <c r="B80" s="12" t="str">
        <f t="shared" si="2"/>
        <v>IEC 62443-4-2 - 3.10.1 HDR RE</v>
      </c>
      <c r="C80" s="14">
        <f>FR3_SI!D86</f>
        <v>0</v>
      </c>
      <c r="D80" s="15">
        <f>FR3_SI!D85</f>
        <v>0</v>
      </c>
      <c r="E80" s="12"/>
      <c r="F80" s="12" t="s">
        <v>104</v>
      </c>
      <c r="G80" s="12" t="str">
        <f>FR3_SI!A84</f>
        <v>HDR RE</v>
      </c>
      <c r="H80" s="14" t="str">
        <f>FR3_SI!B84</f>
        <v>3.10.1</v>
      </c>
      <c r="I80" s="12" t="s">
        <v>105</v>
      </c>
      <c r="L80" s="14">
        <f>FR3_SI!J86</f>
        <v>3</v>
      </c>
    </row>
    <row r="81" spans="1:12" x14ac:dyDescent="0.35">
      <c r="A81" s="12">
        <v>80</v>
      </c>
      <c r="B81" s="12" t="str">
        <f t="shared" si="2"/>
        <v>IEC 62443-4-2 - 3.10 NDR</v>
      </c>
      <c r="C81" s="14">
        <f>FR3_SI!D89</f>
        <v>0</v>
      </c>
      <c r="D81" s="15">
        <f>FR3_SI!D88</f>
        <v>0</v>
      </c>
      <c r="E81" s="12"/>
      <c r="F81" s="12" t="s">
        <v>104</v>
      </c>
      <c r="G81" s="12" t="str">
        <f>FR3_SI!A87</f>
        <v>NDR</v>
      </c>
      <c r="H81" s="14" t="str">
        <f>FR3_SI!B87</f>
        <v>3.10</v>
      </c>
      <c r="I81" s="12" t="s">
        <v>105</v>
      </c>
      <c r="L81" s="14">
        <f>FR3_SI!J89</f>
        <v>1</v>
      </c>
    </row>
    <row r="82" spans="1:12" x14ac:dyDescent="0.35">
      <c r="A82" s="12">
        <v>81</v>
      </c>
      <c r="B82" s="12" t="str">
        <f t="shared" si="2"/>
        <v>IEC 62443-4-2 - 3.10.1 NDR RE</v>
      </c>
      <c r="C82" s="14">
        <f>FR3_SI!D92</f>
        <v>0</v>
      </c>
      <c r="D82" s="15">
        <f>FR3_SI!D91</f>
        <v>0</v>
      </c>
      <c r="E82" s="12"/>
      <c r="F82" s="12" t="s">
        <v>104</v>
      </c>
      <c r="G82" s="12" t="str">
        <f>FR3_SI!A90</f>
        <v>NDR RE</v>
      </c>
      <c r="H82" s="14" t="str">
        <f>FR3_SI!B90</f>
        <v>3.10.1</v>
      </c>
      <c r="I82" s="12" t="s">
        <v>105</v>
      </c>
      <c r="L82" s="14">
        <f>FR3_SI!J92</f>
        <v>2</v>
      </c>
    </row>
    <row r="83" spans="1:12" x14ac:dyDescent="0.35">
      <c r="A83" s="12">
        <v>82</v>
      </c>
      <c r="B83" s="12" t="str">
        <f t="shared" si="2"/>
        <v>IEC 62443-4-2 - 3.11 EDR</v>
      </c>
      <c r="C83" s="14">
        <f>FR3_SI!D95</f>
        <v>0</v>
      </c>
      <c r="D83" s="15">
        <f>FR3_SI!D94</f>
        <v>0</v>
      </c>
      <c r="E83" s="12"/>
      <c r="F83" s="12" t="s">
        <v>104</v>
      </c>
      <c r="G83" s="12" t="str">
        <f>FR3_SI!A93</f>
        <v>EDR</v>
      </c>
      <c r="H83" s="14" t="str">
        <f>FR3_SI!B93</f>
        <v>3.11</v>
      </c>
      <c r="I83" s="12" t="s">
        <v>105</v>
      </c>
      <c r="L83" s="14">
        <f>FR3_SI!J95</f>
        <v>2</v>
      </c>
    </row>
    <row r="84" spans="1:12" x14ac:dyDescent="0.35">
      <c r="A84" s="12">
        <v>83</v>
      </c>
      <c r="B84" s="12" t="str">
        <f t="shared" si="2"/>
        <v>IEC 62443-4-2 - 3.11.1 EDR RE</v>
      </c>
      <c r="C84" s="14">
        <f>FR3_SI!D98</f>
        <v>0</v>
      </c>
      <c r="D84" s="15">
        <f>FR3_SI!D97</f>
        <v>0</v>
      </c>
      <c r="E84" s="12"/>
      <c r="F84" s="12" t="s">
        <v>104</v>
      </c>
      <c r="G84" s="12" t="str">
        <f>FR3_SI!A96</f>
        <v>EDR RE</v>
      </c>
      <c r="H84" s="14" t="str">
        <f>FR3_SI!B96</f>
        <v>3.11.1</v>
      </c>
      <c r="I84" s="12" t="s">
        <v>105</v>
      </c>
      <c r="L84" s="14">
        <f>FR3_SI!J98</f>
        <v>3</v>
      </c>
    </row>
    <row r="85" spans="1:12" x14ac:dyDescent="0.35">
      <c r="A85" s="12">
        <v>84</v>
      </c>
      <c r="B85" s="12" t="str">
        <f t="shared" si="2"/>
        <v>IEC 62443-4-2 - 3.11 HDR</v>
      </c>
      <c r="C85" s="14">
        <f>FR3_SI!D101</f>
        <v>0</v>
      </c>
      <c r="D85" s="15">
        <f>FR3_SI!D100</f>
        <v>0</v>
      </c>
      <c r="E85" s="12"/>
      <c r="F85" s="12" t="s">
        <v>104</v>
      </c>
      <c r="G85" s="12" t="str">
        <f>FR3_SI!A99</f>
        <v>HDR</v>
      </c>
      <c r="H85" s="14" t="str">
        <f>FR3_SI!B99</f>
        <v>3.11</v>
      </c>
      <c r="I85" s="12" t="s">
        <v>105</v>
      </c>
      <c r="L85" s="14">
        <f>FR3_SI!J101</f>
        <v>2</v>
      </c>
    </row>
    <row r="86" spans="1:12" x14ac:dyDescent="0.35">
      <c r="A86" s="12">
        <v>85</v>
      </c>
      <c r="B86" s="12" t="str">
        <f t="shared" si="2"/>
        <v>IEC 62443-4-2 - 3.11.1 HDR RE</v>
      </c>
      <c r="C86" s="14">
        <f>FR3_SI!D104</f>
        <v>0</v>
      </c>
      <c r="D86" s="15">
        <f>FR3_SI!D103</f>
        <v>0</v>
      </c>
      <c r="E86" s="12"/>
      <c r="F86" s="12" t="s">
        <v>104</v>
      </c>
      <c r="G86" s="12" t="str">
        <f>FR3_SI!A102</f>
        <v>HDR RE</v>
      </c>
      <c r="H86" s="14" t="str">
        <f>FR3_SI!B102</f>
        <v>3.11.1</v>
      </c>
      <c r="I86" s="12" t="s">
        <v>105</v>
      </c>
      <c r="L86" s="14">
        <f>FR3_SI!J104</f>
        <v>3</v>
      </c>
    </row>
    <row r="87" spans="1:12" x14ac:dyDescent="0.35">
      <c r="A87" s="12">
        <v>86</v>
      </c>
      <c r="B87" s="12" t="str">
        <f t="shared" si="2"/>
        <v>IEC 62443-4-2 - 3.11 NDR</v>
      </c>
      <c r="C87" s="14">
        <f>FR3_SI!D107</f>
        <v>0</v>
      </c>
      <c r="D87" s="15">
        <f>FR3_SI!D106</f>
        <v>0</v>
      </c>
      <c r="E87" s="12"/>
      <c r="F87" s="12" t="s">
        <v>104</v>
      </c>
      <c r="G87" s="12" t="str">
        <f>FR3_SI!A105</f>
        <v>NDR</v>
      </c>
      <c r="H87" s="14" t="str">
        <f>FR3_SI!B105</f>
        <v>3.11</v>
      </c>
      <c r="I87" s="12" t="s">
        <v>105</v>
      </c>
      <c r="L87" s="14">
        <f>FR3_SI!J107</f>
        <v>2</v>
      </c>
    </row>
    <row r="88" spans="1:12" x14ac:dyDescent="0.35">
      <c r="A88" s="12">
        <v>87</v>
      </c>
      <c r="B88" s="12" t="str">
        <f t="shared" si="2"/>
        <v>IEC 62443-4-2 - 3.11.1 NDR RE</v>
      </c>
      <c r="C88" s="14">
        <f>FR3_SI!D110</f>
        <v>0</v>
      </c>
      <c r="D88" s="15">
        <f>FR3_SI!D109</f>
        <v>0</v>
      </c>
      <c r="E88" s="12"/>
      <c r="F88" s="12" t="s">
        <v>104</v>
      </c>
      <c r="G88" s="12" t="str">
        <f>FR3_SI!A108</f>
        <v>NDR RE</v>
      </c>
      <c r="H88" s="14" t="str">
        <f>FR3_SI!B108</f>
        <v>3.11.1</v>
      </c>
      <c r="I88" s="12" t="s">
        <v>105</v>
      </c>
      <c r="L88" s="14">
        <f>FR3_SI!J110</f>
        <v>3</v>
      </c>
    </row>
    <row r="89" spans="1:12" ht="29" x14ac:dyDescent="0.35">
      <c r="A89" s="12">
        <v>88</v>
      </c>
      <c r="B89" s="12" t="str">
        <f t="shared" si="2"/>
        <v>IEC 62443-4-2 - 3.12 EDR</v>
      </c>
      <c r="C89" s="14" t="str">
        <f>FR3_SI!D113</f>
        <v>Supported with some restrictions/partly needs clarifications</v>
      </c>
      <c r="D89" s="15" t="str">
        <f>FR3_SI!D112</f>
        <v>MCSR does not require a supplier root of trust, like 802.1 AR (IDevID)
Only required for Internet-facing according to MCSR1.0</v>
      </c>
      <c r="E89" s="12"/>
      <c r="F89" s="12" t="s">
        <v>104</v>
      </c>
      <c r="G89" s="12" t="str">
        <f>FR3_SI!A111</f>
        <v>EDR</v>
      </c>
      <c r="H89" s="14" t="str">
        <f>FR3_SI!B111</f>
        <v>3.12</v>
      </c>
      <c r="I89" s="12" t="s">
        <v>105</v>
      </c>
      <c r="L89" s="14">
        <f>FR3_SI!J113</f>
        <v>2</v>
      </c>
    </row>
    <row r="90" spans="1:12" x14ac:dyDescent="0.35">
      <c r="A90" s="12">
        <v>89</v>
      </c>
      <c r="B90" s="12" t="str">
        <f t="shared" si="2"/>
        <v>IEC 62443-4-2 - 3.12 HDR</v>
      </c>
      <c r="C90" s="14">
        <f>FR3_SI!D116</f>
        <v>0</v>
      </c>
      <c r="D90" s="15" t="str">
        <f>FR3_SI!D115</f>
        <v>Only required for Internet-facing according to MCSR1.0</v>
      </c>
      <c r="E90" s="12"/>
      <c r="F90" s="12" t="s">
        <v>104</v>
      </c>
      <c r="G90" s="12" t="str">
        <f>FR3_SI!A114</f>
        <v>HDR</v>
      </c>
      <c r="H90" s="14" t="str">
        <f>FR3_SI!B114</f>
        <v>3.12</v>
      </c>
      <c r="I90" s="12" t="s">
        <v>105</v>
      </c>
      <c r="L90" s="14">
        <f>FR3_SI!J116</f>
        <v>2</v>
      </c>
    </row>
    <row r="91" spans="1:12" x14ac:dyDescent="0.35">
      <c r="A91" s="12">
        <v>90</v>
      </c>
      <c r="B91" s="12" t="str">
        <f t="shared" si="2"/>
        <v>IEC 62443-4-2 - 3.12 NDR</v>
      </c>
      <c r="C91" s="14">
        <f>FR3_SI!D119</f>
        <v>0</v>
      </c>
      <c r="D91" s="15">
        <f>FR3_SI!D118</f>
        <v>0</v>
      </c>
      <c r="E91" s="12"/>
      <c r="F91" s="12" t="s">
        <v>104</v>
      </c>
      <c r="G91" s="12" t="str">
        <f>FR3_SI!A117</f>
        <v>NDR</v>
      </c>
      <c r="H91" s="14" t="str">
        <f>FR3_SI!B117</f>
        <v>3.12</v>
      </c>
      <c r="I91" s="12" t="s">
        <v>105</v>
      </c>
      <c r="L91" s="14">
        <f>FR3_SI!J119</f>
        <v>2</v>
      </c>
    </row>
    <row r="92" spans="1:12" x14ac:dyDescent="0.35">
      <c r="A92" s="12">
        <v>91</v>
      </c>
      <c r="B92" s="12" t="str">
        <f t="shared" si="2"/>
        <v>IEC 62443-4-2 - 3.13 EDR</v>
      </c>
      <c r="C92" s="14" t="str">
        <f>FR3_SI!D123</f>
        <v>Supported with some restrictions/partly needs clarifications</v>
      </c>
      <c r="D92" s="15">
        <f>FR3_SI!D121</f>
        <v>0</v>
      </c>
      <c r="E92" s="12"/>
      <c r="F92" s="12" t="s">
        <v>104</v>
      </c>
      <c r="G92" s="12" t="str">
        <f>FR3_SI!A120</f>
        <v>EDR</v>
      </c>
      <c r="H92" s="14" t="str">
        <f>FR3_SI!B120</f>
        <v>3.13</v>
      </c>
      <c r="I92" s="12" t="s">
        <v>105</v>
      </c>
      <c r="L92" s="14">
        <f>FR3_SI!J123</f>
        <v>2</v>
      </c>
    </row>
    <row r="93" spans="1:12" x14ac:dyDescent="0.35">
      <c r="A93" s="12">
        <v>92</v>
      </c>
      <c r="B93" s="12" t="str">
        <f t="shared" si="2"/>
        <v>IEC 62443-4-2 - 3.13 HDR</v>
      </c>
      <c r="C93" s="14" t="str">
        <f>FR3_SI!D127</f>
        <v>Supported</v>
      </c>
      <c r="D93" s="15">
        <f>FR3_SI!D125</f>
        <v>0</v>
      </c>
      <c r="E93" s="12"/>
      <c r="F93" s="12" t="s">
        <v>104</v>
      </c>
      <c r="G93" s="12" t="str">
        <f>FR3_SI!A124</f>
        <v>HDR</v>
      </c>
      <c r="H93" s="14" t="str">
        <f>FR3_SI!B124</f>
        <v>3.13</v>
      </c>
      <c r="I93" s="12" t="s">
        <v>105</v>
      </c>
      <c r="L93" s="14">
        <f>FR3_SI!J127</f>
        <v>2</v>
      </c>
    </row>
    <row r="94" spans="1:12" x14ac:dyDescent="0.35">
      <c r="A94" s="12">
        <v>93</v>
      </c>
      <c r="B94" s="12" t="str">
        <f t="shared" si="2"/>
        <v>IEC 62443-4-2 - 3.13 NDR</v>
      </c>
      <c r="C94" s="14">
        <f>FR3_SI!D131</f>
        <v>0</v>
      </c>
      <c r="D94" s="15">
        <f>FR3_SI!D129</f>
        <v>0</v>
      </c>
      <c r="E94" s="12"/>
      <c r="F94" s="12" t="s">
        <v>104</v>
      </c>
      <c r="G94" s="12" t="str">
        <f>FR3_SI!A128</f>
        <v>NDR</v>
      </c>
      <c r="H94" s="14" t="str">
        <f>FR3_SI!B128</f>
        <v>3.13</v>
      </c>
      <c r="I94" s="12" t="s">
        <v>105</v>
      </c>
      <c r="L94" s="14">
        <f>FR3_SI!J131</f>
        <v>2</v>
      </c>
    </row>
    <row r="95" spans="1:12" ht="29" x14ac:dyDescent="0.35">
      <c r="A95" s="12">
        <v>94</v>
      </c>
      <c r="B95" s="12" t="str">
        <f t="shared" si="2"/>
        <v>IEC 62443-4-2 - 3.14 EDR</v>
      </c>
      <c r="C95" s="14" t="str">
        <f>FR3_SI!D136</f>
        <v>Supported with some restrictions/partly needs clarifications</v>
      </c>
      <c r="D95" s="15" t="str">
        <f>FR3_SI!D133</f>
        <v>MCSR does not require secure boot for non Internet facing Solutions which is prerequisit for supplier root of trust</v>
      </c>
      <c r="E95" s="12"/>
      <c r="F95" s="12" t="s">
        <v>104</v>
      </c>
      <c r="G95" s="12" t="str">
        <f>FR3_SI!A132</f>
        <v>EDR</v>
      </c>
      <c r="H95" s="14" t="str">
        <f>FR3_SI!B132</f>
        <v>3.14</v>
      </c>
      <c r="I95" s="12" t="s">
        <v>105</v>
      </c>
      <c r="L95" s="14">
        <f>FR3_SI!J136</f>
        <v>1</v>
      </c>
    </row>
    <row r="96" spans="1:12" x14ac:dyDescent="0.35">
      <c r="A96" s="12">
        <v>95</v>
      </c>
      <c r="B96" s="12" t="str">
        <f t="shared" si="2"/>
        <v>IEC 62443-4-2 - 3.14.1 EDR RE</v>
      </c>
      <c r="C96" s="14">
        <f>FR3_SI!D139</f>
        <v>0</v>
      </c>
      <c r="D96" s="15">
        <f>FR3_SI!D138</f>
        <v>0</v>
      </c>
      <c r="E96" s="12"/>
      <c r="F96" s="12" t="s">
        <v>104</v>
      </c>
      <c r="G96" s="12" t="str">
        <f>FR3_SI!A137</f>
        <v>EDR RE</v>
      </c>
      <c r="H96" s="14" t="str">
        <f>FR3_SI!B137</f>
        <v>3.14.1</v>
      </c>
      <c r="I96" s="12" t="s">
        <v>105</v>
      </c>
      <c r="L96" s="14">
        <f>FR3_SI!J139</f>
        <v>2</v>
      </c>
    </row>
    <row r="97" spans="1:12" x14ac:dyDescent="0.35">
      <c r="A97" s="12">
        <v>96</v>
      </c>
      <c r="B97" s="12" t="str">
        <f t="shared" si="2"/>
        <v>IEC 62443-4-2 - 3.14 HDR</v>
      </c>
      <c r="C97" s="14">
        <f>FR3_SI!D144</f>
        <v>0</v>
      </c>
      <c r="D97" s="15">
        <f>FR3_SI!D141</f>
        <v>0</v>
      </c>
      <c r="E97" s="12"/>
      <c r="F97" s="12" t="s">
        <v>104</v>
      </c>
      <c r="G97" s="12" t="str">
        <f>FR3_SI!A140</f>
        <v>HDR</v>
      </c>
      <c r="H97" s="14" t="str">
        <f>FR3_SI!B140</f>
        <v>3.14</v>
      </c>
      <c r="I97" s="12" t="s">
        <v>105</v>
      </c>
      <c r="L97" s="14">
        <f>FR3_SI!J144</f>
        <v>1</v>
      </c>
    </row>
    <row r="98" spans="1:12" x14ac:dyDescent="0.35">
      <c r="A98" s="12">
        <v>97</v>
      </c>
      <c r="B98" s="12" t="str">
        <f t="shared" ref="B98:B126" si="3">CONCATENATE(F98," - ",H98," ",G98)</f>
        <v>IEC 62443-4-2 - 3.14.1 HDR RE</v>
      </c>
      <c r="C98" s="14">
        <f>FR3_SI!D147</f>
        <v>0</v>
      </c>
      <c r="D98" s="15">
        <f>FR3_SI!D146</f>
        <v>0</v>
      </c>
      <c r="E98" s="12"/>
      <c r="F98" s="12" t="s">
        <v>104</v>
      </c>
      <c r="G98" s="12" t="str">
        <f>FR3_SI!A145</f>
        <v>HDR RE</v>
      </c>
      <c r="H98" s="14" t="str">
        <f>FR3_SI!B145</f>
        <v>3.14.1</v>
      </c>
      <c r="I98" s="12" t="s">
        <v>105</v>
      </c>
      <c r="L98" s="14">
        <f>FR3_SI!J147</f>
        <v>2</v>
      </c>
    </row>
    <row r="99" spans="1:12" x14ac:dyDescent="0.35">
      <c r="A99" s="12">
        <v>98</v>
      </c>
      <c r="B99" s="12" t="str">
        <f t="shared" si="3"/>
        <v>IEC 62443-4-2 - 3.14 NDR</v>
      </c>
      <c r="C99" s="14">
        <f>FR3_SI!D152</f>
        <v>0</v>
      </c>
      <c r="D99" s="15">
        <f>FR3_SI!D149</f>
        <v>0</v>
      </c>
      <c r="E99" s="12"/>
      <c r="F99" s="12" t="s">
        <v>104</v>
      </c>
      <c r="G99" s="12" t="str">
        <f>FR3_SI!A148</f>
        <v>NDR</v>
      </c>
      <c r="H99" s="14" t="str">
        <f>FR3_SI!B148</f>
        <v>3.14</v>
      </c>
      <c r="I99" s="12" t="s">
        <v>105</v>
      </c>
      <c r="L99" s="14">
        <f>FR3_SI!J152</f>
        <v>1</v>
      </c>
    </row>
    <row r="100" spans="1:12" x14ac:dyDescent="0.35">
      <c r="A100" s="12">
        <v>99</v>
      </c>
      <c r="B100" s="12" t="str">
        <f t="shared" si="3"/>
        <v>IEC 62443-4-2 - 3.14.1 NDR RE</v>
      </c>
      <c r="C100" s="14">
        <f>FR3_SI!D155</f>
        <v>0</v>
      </c>
      <c r="D100" s="15">
        <f>FR3_SI!D154</f>
        <v>0</v>
      </c>
      <c r="E100" s="12"/>
      <c r="F100" s="12" t="s">
        <v>104</v>
      </c>
      <c r="G100" s="12" t="str">
        <f>FR3_SI!A153</f>
        <v>NDR RE</v>
      </c>
      <c r="H100" s="14" t="str">
        <f>FR3_SI!B153</f>
        <v>3.14.1</v>
      </c>
      <c r="I100" s="12" t="s">
        <v>105</v>
      </c>
      <c r="L100" s="14">
        <f>FR3_SI!J155</f>
        <v>2</v>
      </c>
    </row>
    <row r="101" spans="1:12" x14ac:dyDescent="0.35">
      <c r="A101" s="12">
        <v>100</v>
      </c>
      <c r="B101" s="12" t="str">
        <f t="shared" si="3"/>
        <v>IEC 62443-4-2 - 4.1 CR</v>
      </c>
      <c r="C101" s="14" t="str">
        <f>FR4_DC!D12</f>
        <v>Supported with some restrictions/partly needs clarifications</v>
      </c>
      <c r="D101" s="15" t="str">
        <f>FR4_DC!D10</f>
        <v>MCSR for products only covers b, MCSR IFS also cover In Transit, at rest and in use.</v>
      </c>
      <c r="E101" s="12"/>
      <c r="F101" s="12" t="s">
        <v>104</v>
      </c>
      <c r="G101" s="12" t="str">
        <f>FR4_DC!A9</f>
        <v>CR</v>
      </c>
      <c r="H101" s="14" t="str">
        <f>FR4_DC!B9</f>
        <v>4.1</v>
      </c>
      <c r="I101" s="12" t="s">
        <v>105</v>
      </c>
      <c r="L101" s="14">
        <f>FR4_DC!J12</f>
        <v>1</v>
      </c>
    </row>
    <row r="102" spans="1:12" x14ac:dyDescent="0.35">
      <c r="A102" s="12">
        <v>101</v>
      </c>
      <c r="B102" s="12" t="str">
        <f t="shared" si="3"/>
        <v>IEC 62443-4-2 - 4.2 CR</v>
      </c>
      <c r="C102" s="14">
        <f>FR4_DC!D15</f>
        <v>0</v>
      </c>
      <c r="D102" s="15">
        <f>FR4_DC!D14</f>
        <v>0</v>
      </c>
      <c r="E102" s="12"/>
      <c r="F102" s="12" t="s">
        <v>104</v>
      </c>
      <c r="G102" s="12" t="str">
        <f>FR4_DC!A13</f>
        <v>CR</v>
      </c>
      <c r="H102" s="14" t="str">
        <f>FR4_DC!B13</f>
        <v>4.2</v>
      </c>
      <c r="I102" s="12" t="s">
        <v>105</v>
      </c>
      <c r="L102" s="14">
        <f>FR4_DC!J15</f>
        <v>2</v>
      </c>
    </row>
    <row r="103" spans="1:12" x14ac:dyDescent="0.35">
      <c r="A103" s="12">
        <v>102</v>
      </c>
      <c r="B103" s="12" t="str">
        <f t="shared" si="3"/>
        <v>IEC 62443-4-2 - 4.2.1 CR RE</v>
      </c>
      <c r="C103" s="14">
        <f>FR4_DC!D18</f>
        <v>0</v>
      </c>
      <c r="D103" s="15">
        <f>FR4_DC!D17</f>
        <v>0</v>
      </c>
      <c r="E103" s="12"/>
      <c r="F103" s="12" t="s">
        <v>104</v>
      </c>
      <c r="G103" s="12" t="str">
        <f>FR4_DC!A16</f>
        <v>CR RE</v>
      </c>
      <c r="H103" s="14" t="str">
        <f>FR4_DC!B16</f>
        <v>4.2.1</v>
      </c>
      <c r="I103" s="12" t="s">
        <v>105</v>
      </c>
      <c r="L103" s="14">
        <f>FR4_DC!J18</f>
        <v>3</v>
      </c>
    </row>
    <row r="104" spans="1:12" x14ac:dyDescent="0.35">
      <c r="A104" s="12">
        <v>103</v>
      </c>
      <c r="B104" s="12" t="str">
        <f t="shared" si="3"/>
        <v>IEC 62443-4-2 - 4.2.2 CR RE</v>
      </c>
      <c r="C104" s="14">
        <f>FR4_DC!D21</f>
        <v>0</v>
      </c>
      <c r="D104" s="15">
        <f>FR4_DC!D20</f>
        <v>0</v>
      </c>
      <c r="F104" s="12" t="s">
        <v>104</v>
      </c>
      <c r="G104" s="12" t="str">
        <f>FR4_DC!A19</f>
        <v>CR RE</v>
      </c>
      <c r="H104" s="14" t="str">
        <f>FR4_DC!B19</f>
        <v>4.2.2</v>
      </c>
      <c r="I104" s="12" t="s">
        <v>105</v>
      </c>
      <c r="L104" s="14">
        <f>FR4_DC!J21</f>
        <v>3</v>
      </c>
    </row>
    <row r="105" spans="1:12" x14ac:dyDescent="0.35">
      <c r="A105" s="12">
        <v>104</v>
      </c>
      <c r="B105" s="12" t="str">
        <f t="shared" si="3"/>
        <v>IEC 62443-4-2 - 4.3 CR</v>
      </c>
      <c r="C105" s="14" t="str">
        <f>FR4_DC!D24</f>
        <v>Supported</v>
      </c>
      <c r="D105" s="15">
        <f>FR4_DC!D23</f>
        <v>0</v>
      </c>
      <c r="E105" s="12"/>
      <c r="F105" s="12" t="s">
        <v>104</v>
      </c>
      <c r="G105" s="12" t="str">
        <f>FR4_DC!A22</f>
        <v>CR</v>
      </c>
      <c r="H105" s="14" t="str">
        <f>FR4_DC!B22</f>
        <v>4.3</v>
      </c>
      <c r="I105" s="12" t="s">
        <v>105</v>
      </c>
      <c r="L105" s="14">
        <f>FR4_DC!J24</f>
        <v>1</v>
      </c>
    </row>
    <row r="106" spans="1:12" x14ac:dyDescent="0.35">
      <c r="A106" s="12">
        <v>105</v>
      </c>
      <c r="B106" s="12" t="str">
        <f t="shared" si="3"/>
        <v>IEC 62443-4-2 - 5.1 CR</v>
      </c>
      <c r="C106" s="14">
        <f>FR5_RDF!D11</f>
        <v>0</v>
      </c>
      <c r="D106" s="15">
        <f>FR5_RDF!D10</f>
        <v>0</v>
      </c>
      <c r="F106" s="12" t="s">
        <v>104</v>
      </c>
      <c r="G106" s="12" t="str">
        <f>FR5_RDF!A9</f>
        <v>CR</v>
      </c>
      <c r="H106" s="14" t="str">
        <f>FR5_RDF!B9</f>
        <v>5.1</v>
      </c>
      <c r="I106" s="12" t="s">
        <v>105</v>
      </c>
      <c r="L106" s="14">
        <f>FR5_RDF!J11</f>
        <v>1</v>
      </c>
    </row>
    <row r="107" spans="1:12" x14ac:dyDescent="0.35">
      <c r="A107" s="12">
        <v>106</v>
      </c>
      <c r="B107" s="12" t="str">
        <f t="shared" si="3"/>
        <v>IEC 62443-4-2 - 5.2 NDR</v>
      </c>
      <c r="C107" s="14">
        <f>FR5_RDF!D14</f>
        <v>0</v>
      </c>
      <c r="D107" s="15">
        <f>FR5_RDF!D13</f>
        <v>0</v>
      </c>
      <c r="F107" s="12" t="s">
        <v>104</v>
      </c>
      <c r="G107" s="12" t="str">
        <f>FR5_RDF!A12</f>
        <v>NDR</v>
      </c>
      <c r="H107" s="14" t="str">
        <f>FR5_RDF!B12</f>
        <v>5.2</v>
      </c>
      <c r="I107" s="12" t="s">
        <v>105</v>
      </c>
      <c r="L107" s="14">
        <f>FR5_RDF!J14</f>
        <v>1</v>
      </c>
    </row>
    <row r="108" spans="1:12" x14ac:dyDescent="0.35">
      <c r="A108" s="12">
        <v>107</v>
      </c>
      <c r="B108" s="12" t="str">
        <f t="shared" si="3"/>
        <v>IEC 62443-4-2 - 5.2.1 NDR RE</v>
      </c>
      <c r="C108" s="14">
        <f>FR5_RDF!D17</f>
        <v>0</v>
      </c>
      <c r="D108" s="15">
        <f>FR5_RDF!D16</f>
        <v>0</v>
      </c>
      <c r="F108" s="12" t="s">
        <v>104</v>
      </c>
      <c r="G108" s="12" t="str">
        <f>FR5_RDF!A15</f>
        <v>NDR RE</v>
      </c>
      <c r="H108" s="14" t="str">
        <f>FR5_RDF!B15</f>
        <v>5.2.1</v>
      </c>
      <c r="I108" s="12" t="s">
        <v>105</v>
      </c>
      <c r="L108" s="14">
        <f>FR5_RDF!J17</f>
        <v>2</v>
      </c>
    </row>
    <row r="109" spans="1:12" x14ac:dyDescent="0.35">
      <c r="A109" s="12">
        <v>108</v>
      </c>
      <c r="B109" s="12" t="str">
        <f t="shared" si="3"/>
        <v>IEC 62443-4-2 - 5.2.2 NDR RE</v>
      </c>
      <c r="C109" s="14">
        <f>FR5_RDF!D20</f>
        <v>0</v>
      </c>
      <c r="D109" s="15">
        <f>FR5_RDF!D19</f>
        <v>0</v>
      </c>
      <c r="E109" s="12"/>
      <c r="F109" s="12" t="s">
        <v>104</v>
      </c>
      <c r="G109" s="12" t="str">
        <f>FR5_RDF!A18</f>
        <v>NDR RE</v>
      </c>
      <c r="H109" s="14" t="str">
        <f>FR5_RDF!B18</f>
        <v>5.2.2</v>
      </c>
      <c r="I109" s="12" t="s">
        <v>105</v>
      </c>
      <c r="L109" s="14">
        <f>FR5_RDF!J20</f>
        <v>3</v>
      </c>
    </row>
    <row r="110" spans="1:12" x14ac:dyDescent="0.35">
      <c r="A110" s="12">
        <v>109</v>
      </c>
      <c r="B110" s="12" t="str">
        <f t="shared" si="3"/>
        <v>IEC 62443-4-2 - 5.2.3 NDR RE</v>
      </c>
      <c r="C110" s="14">
        <f>FR5_RDF!D23</f>
        <v>0</v>
      </c>
      <c r="D110" s="15">
        <f>FR5_RDF!D22</f>
        <v>0</v>
      </c>
      <c r="E110" s="12"/>
      <c r="F110" s="12" t="s">
        <v>104</v>
      </c>
      <c r="G110" s="12" t="str">
        <f>FR5_RDF!A21</f>
        <v>NDR RE</v>
      </c>
      <c r="H110" s="14" t="str">
        <f>FR5_RDF!B21</f>
        <v>5.2.3</v>
      </c>
      <c r="I110" s="12" t="s">
        <v>105</v>
      </c>
      <c r="L110" s="14">
        <f>FR5_RDF!J23</f>
        <v>3</v>
      </c>
    </row>
    <row r="111" spans="1:12" x14ac:dyDescent="0.35">
      <c r="A111" s="12">
        <v>110</v>
      </c>
      <c r="B111" s="12" t="str">
        <f t="shared" si="3"/>
        <v>IEC 62443-4-2 - 5.3 NDR</v>
      </c>
      <c r="C111" s="14">
        <f>FR5_RDF!D26</f>
        <v>0</v>
      </c>
      <c r="D111" s="15">
        <f>FR5_RDF!D25</f>
        <v>0</v>
      </c>
      <c r="E111" s="12"/>
      <c r="F111" s="12" t="s">
        <v>104</v>
      </c>
      <c r="G111" s="12" t="str">
        <f>FR5_RDF!A24</f>
        <v>NDR</v>
      </c>
      <c r="H111" s="14" t="str">
        <f>FR5_RDF!B24</f>
        <v>5.3</v>
      </c>
      <c r="I111" s="12" t="s">
        <v>105</v>
      </c>
      <c r="L111" s="14">
        <f>FR5_RDF!J26</f>
        <v>1</v>
      </c>
    </row>
    <row r="112" spans="1:12" x14ac:dyDescent="0.35">
      <c r="A112" s="12">
        <v>111</v>
      </c>
      <c r="B112" s="12" t="str">
        <f t="shared" si="3"/>
        <v>IEC 62443-4-2 - 5.4 CR</v>
      </c>
      <c r="C112" s="14">
        <f>FR5_RDF!D29</f>
        <v>0</v>
      </c>
      <c r="D112" s="15">
        <f>FR5_RDF!D28</f>
        <v>0</v>
      </c>
      <c r="E112" s="12"/>
      <c r="F112" s="12" t="s">
        <v>104</v>
      </c>
      <c r="G112" s="12" t="str">
        <f>FR5_RDF!A27</f>
        <v>CR</v>
      </c>
      <c r="H112" s="14" t="str">
        <f>FR5_RDF!B27</f>
        <v>5.4</v>
      </c>
      <c r="I112" s="12" t="s">
        <v>105</v>
      </c>
      <c r="L112" s="14">
        <f>FR5_RDF!J29</f>
        <v>0</v>
      </c>
    </row>
    <row r="113" spans="1:12" x14ac:dyDescent="0.35">
      <c r="A113" s="12">
        <v>112</v>
      </c>
      <c r="B113" s="12" t="str">
        <f t="shared" si="3"/>
        <v>IEC 62443-4-2 - 6.1 CR</v>
      </c>
      <c r="C113" s="14">
        <f>FR6_TRE!D11</f>
        <v>0</v>
      </c>
      <c r="D113" s="15">
        <f>FR6_TRE!D10</f>
        <v>0</v>
      </c>
      <c r="E113" s="12"/>
      <c r="F113" s="12" t="s">
        <v>104</v>
      </c>
      <c r="G113" s="12" t="str">
        <f>FR6_TRE!A9</f>
        <v>CR</v>
      </c>
      <c r="H113" s="14" t="str">
        <f>FR6_TRE!B9</f>
        <v>6.1</v>
      </c>
      <c r="I113" s="12" t="s">
        <v>105</v>
      </c>
      <c r="L113" s="14">
        <f>FR6_TRE!J11</f>
        <v>1</v>
      </c>
    </row>
    <row r="114" spans="1:12" x14ac:dyDescent="0.35">
      <c r="A114" s="12">
        <v>113</v>
      </c>
      <c r="B114" s="12" t="str">
        <f t="shared" si="3"/>
        <v>IEC 62443-4-2 - 6.1.1 CR RE</v>
      </c>
      <c r="C114" s="14">
        <f>FR6_TRE!D14</f>
        <v>0</v>
      </c>
      <c r="D114" s="15">
        <f>FR6_TRE!D13</f>
        <v>0</v>
      </c>
      <c r="E114" s="12"/>
      <c r="F114" s="12" t="s">
        <v>104</v>
      </c>
      <c r="G114" s="12" t="str">
        <f>FR6_TRE!A12</f>
        <v>CR RE</v>
      </c>
      <c r="H114" s="14" t="str">
        <f>FR6_TRE!B12</f>
        <v>6.1.1</v>
      </c>
      <c r="I114" s="12" t="s">
        <v>105</v>
      </c>
      <c r="L114" s="14">
        <f>FR6_TRE!J14</f>
        <v>3</v>
      </c>
    </row>
    <row r="115" spans="1:12" x14ac:dyDescent="0.35">
      <c r="A115" s="12">
        <v>114</v>
      </c>
      <c r="B115" s="12" t="str">
        <f t="shared" si="3"/>
        <v>IEC 62443-4-2 - 6.2 CR</v>
      </c>
      <c r="C115" s="14">
        <f>FR6_TRE!D17</f>
        <v>0</v>
      </c>
      <c r="D115" s="15">
        <f>FR6_TRE!D16</f>
        <v>0</v>
      </c>
      <c r="E115" s="12"/>
      <c r="F115" s="12" t="s">
        <v>104</v>
      </c>
      <c r="G115" s="12" t="str">
        <f>FR6_TRE!A15</f>
        <v>CR</v>
      </c>
      <c r="H115" s="14" t="str">
        <f>FR6_TRE!B15</f>
        <v>6.2</v>
      </c>
      <c r="I115" s="12" t="s">
        <v>105</v>
      </c>
      <c r="L115" s="14">
        <f>FR6_TRE!J17</f>
        <v>2</v>
      </c>
    </row>
    <row r="116" spans="1:12" x14ac:dyDescent="0.35">
      <c r="A116" s="12">
        <v>115</v>
      </c>
      <c r="B116" s="12" t="str">
        <f t="shared" si="3"/>
        <v>IEC 62443-4-2 - 7.1 CR</v>
      </c>
      <c r="C116" s="14" t="str">
        <f>FR7_RA!D11</f>
        <v>Supported</v>
      </c>
      <c r="D116" s="15" t="str">
        <f>FR7_RA!D10</f>
        <v>Largely covered by DSAC testing</v>
      </c>
      <c r="E116" s="12"/>
      <c r="F116" s="12" t="s">
        <v>104</v>
      </c>
      <c r="G116" s="12" t="str">
        <f>FR7_RA!A9</f>
        <v>CR</v>
      </c>
      <c r="H116" s="14" t="str">
        <f>FR7_RA!B9</f>
        <v>7.1</v>
      </c>
      <c r="I116" s="12" t="s">
        <v>105</v>
      </c>
      <c r="L116" s="14">
        <f>FR7_RA!J11</f>
        <v>1</v>
      </c>
    </row>
    <row r="117" spans="1:12" x14ac:dyDescent="0.35">
      <c r="A117" s="12">
        <v>116</v>
      </c>
      <c r="B117" s="12" t="str">
        <f t="shared" si="3"/>
        <v>IEC 62443-4-2 - 7.1.1 CR RE</v>
      </c>
      <c r="C117" s="14">
        <f>FR7_RA!D14</f>
        <v>0</v>
      </c>
      <c r="D117" s="15">
        <f>FR7_RA!D13</f>
        <v>0</v>
      </c>
      <c r="E117" s="12"/>
      <c r="F117" s="12" t="s">
        <v>104</v>
      </c>
      <c r="G117" s="12" t="str">
        <f>FR7_RA!A12</f>
        <v>CR RE</v>
      </c>
      <c r="H117" s="14" t="str">
        <f>FR7_RA!B12</f>
        <v>7.1.1</v>
      </c>
      <c r="I117" s="12" t="s">
        <v>105</v>
      </c>
      <c r="L117" s="14">
        <f>FR7_RA!J14</f>
        <v>2</v>
      </c>
    </row>
    <row r="118" spans="1:12" x14ac:dyDescent="0.35">
      <c r="A118" s="12">
        <v>117</v>
      </c>
      <c r="B118" s="12" t="str">
        <f t="shared" si="3"/>
        <v>IEC 62443-4-2 - 7.2 CR</v>
      </c>
      <c r="C118" s="14">
        <f>FR7_RA!D17</f>
        <v>0</v>
      </c>
      <c r="D118" s="15">
        <f>FR7_RA!D16</f>
        <v>0</v>
      </c>
      <c r="E118" s="12"/>
      <c r="F118" s="12" t="s">
        <v>104</v>
      </c>
      <c r="G118" s="12" t="str">
        <f>FR7_RA!A15</f>
        <v>CR</v>
      </c>
      <c r="H118" s="14" t="str">
        <f>FR7_RA!B15</f>
        <v>7.2</v>
      </c>
      <c r="I118" s="12" t="s">
        <v>105</v>
      </c>
      <c r="L118" s="14">
        <f>FR7_RA!J17</f>
        <v>1</v>
      </c>
    </row>
    <row r="119" spans="1:12" x14ac:dyDescent="0.35">
      <c r="A119" s="12">
        <v>118</v>
      </c>
      <c r="B119" s="12" t="str">
        <f t="shared" si="3"/>
        <v>IEC 62443-4-2 - 7.3 CR</v>
      </c>
      <c r="C119" s="14">
        <f>FR7_RA!D20</f>
        <v>0</v>
      </c>
      <c r="D119" s="15">
        <f>FR7_RA!D19</f>
        <v>0</v>
      </c>
      <c r="F119" s="12" t="s">
        <v>104</v>
      </c>
      <c r="G119" s="12" t="str">
        <f>FR7_RA!A18</f>
        <v>CR</v>
      </c>
      <c r="H119" s="14" t="str">
        <f>FR7_RA!B18</f>
        <v>7.3</v>
      </c>
      <c r="I119" s="12" t="s">
        <v>105</v>
      </c>
      <c r="L119" s="14">
        <f>FR7_RA!J20</f>
        <v>1</v>
      </c>
    </row>
    <row r="120" spans="1:12" x14ac:dyDescent="0.35">
      <c r="A120" s="12">
        <v>119</v>
      </c>
      <c r="B120" s="12" t="str">
        <f t="shared" si="3"/>
        <v>IEC 62443-4-2 - 7.3.1 CR RE</v>
      </c>
      <c r="C120" s="14">
        <f>FR7_RA!D23</f>
        <v>0</v>
      </c>
      <c r="D120" s="15">
        <f>FR7_RA!D22</f>
        <v>0</v>
      </c>
      <c r="F120" s="12" t="s">
        <v>104</v>
      </c>
      <c r="G120" s="12" t="str">
        <f>FR7_RA!A21</f>
        <v>CR RE</v>
      </c>
      <c r="H120" s="14" t="str">
        <f>FR7_RA!B21</f>
        <v>7.3.1</v>
      </c>
      <c r="I120" s="12" t="s">
        <v>105</v>
      </c>
      <c r="L120" s="14">
        <f>FR7_RA!J23</f>
        <v>2</v>
      </c>
    </row>
    <row r="121" spans="1:12" x14ac:dyDescent="0.35">
      <c r="A121" s="12">
        <v>120</v>
      </c>
      <c r="B121" s="12" t="str">
        <f t="shared" si="3"/>
        <v>IEC 62443-4-2 - 7.4 CR</v>
      </c>
      <c r="C121" s="14">
        <f>FR7_RA!D26</f>
        <v>0</v>
      </c>
      <c r="D121" s="15">
        <f>FR7_RA!D25</f>
        <v>0</v>
      </c>
      <c r="E121" s="12"/>
      <c r="F121" s="12" t="s">
        <v>104</v>
      </c>
      <c r="G121" s="12" t="str">
        <f>FR7_RA!A24</f>
        <v>CR</v>
      </c>
      <c r="H121" s="14" t="str">
        <f>FR7_RA!B24</f>
        <v>7.4</v>
      </c>
      <c r="I121" s="12" t="s">
        <v>105</v>
      </c>
      <c r="L121" s="14">
        <f>FR7_RA!J26</f>
        <v>1</v>
      </c>
    </row>
    <row r="122" spans="1:12" x14ac:dyDescent="0.35">
      <c r="A122" s="12">
        <v>121</v>
      </c>
      <c r="B122" s="12" t="str">
        <f t="shared" si="3"/>
        <v>IEC 62443-4-2 - 7.5 CR</v>
      </c>
      <c r="C122" s="14">
        <f>FR7_RA!D29</f>
        <v>0</v>
      </c>
      <c r="D122" s="15">
        <f>FR7_RA!D28</f>
        <v>0</v>
      </c>
      <c r="F122" s="12" t="s">
        <v>104</v>
      </c>
      <c r="G122" s="12" t="str">
        <f>FR7_RA!A27</f>
        <v>CR</v>
      </c>
      <c r="H122" s="14" t="str">
        <f>FR7_RA!B27</f>
        <v>7.5</v>
      </c>
      <c r="I122" s="12" t="s">
        <v>105</v>
      </c>
      <c r="L122" s="14">
        <f>FR7_RA!J29</f>
        <v>0</v>
      </c>
    </row>
    <row r="123" spans="1:12" x14ac:dyDescent="0.35">
      <c r="A123" s="12">
        <v>122</v>
      </c>
      <c r="B123" s="12" t="str">
        <f t="shared" si="3"/>
        <v>IEC 62443-4-2 - 7.6 CR</v>
      </c>
      <c r="C123" s="14">
        <f>FR7_RA!D33</f>
        <v>0</v>
      </c>
      <c r="D123" s="15">
        <f>FR7_RA!D31</f>
        <v>0</v>
      </c>
      <c r="F123" s="12" t="s">
        <v>104</v>
      </c>
      <c r="G123" s="12" t="str">
        <f>FR7_RA!A30</f>
        <v>CR</v>
      </c>
      <c r="H123" s="14" t="str">
        <f>FR7_RA!B30</f>
        <v>7.6</v>
      </c>
      <c r="I123" s="12" t="s">
        <v>105</v>
      </c>
      <c r="L123" s="14">
        <f>FR7_RA!J33</f>
        <v>1</v>
      </c>
    </row>
    <row r="124" spans="1:12" x14ac:dyDescent="0.35">
      <c r="A124" s="12">
        <v>123</v>
      </c>
      <c r="B124" s="12" t="str">
        <f t="shared" si="3"/>
        <v>IEC 62443-4-2 - 7.6.1 CR RE</v>
      </c>
      <c r="C124" s="14">
        <f>FR7_RA!D36</f>
        <v>0</v>
      </c>
      <c r="D124" s="15">
        <f>FR7_RA!D35</f>
        <v>0</v>
      </c>
      <c r="E124" s="12"/>
      <c r="F124" s="12" t="s">
        <v>104</v>
      </c>
      <c r="G124" s="12" t="str">
        <f>FR7_RA!A34</f>
        <v>CR RE</v>
      </c>
      <c r="H124" s="14" t="str">
        <f>FR7_RA!B34</f>
        <v>7.6.1</v>
      </c>
      <c r="I124" s="12" t="s">
        <v>105</v>
      </c>
      <c r="L124" s="14">
        <f>FR7_RA!J36</f>
        <v>3</v>
      </c>
    </row>
    <row r="125" spans="1:12" x14ac:dyDescent="0.35">
      <c r="A125" s="12">
        <v>124</v>
      </c>
      <c r="B125" s="12" t="str">
        <f t="shared" si="3"/>
        <v>IEC 62443-4-2 - 7.7 CR</v>
      </c>
      <c r="C125" s="14" t="str">
        <f>FR7_RA!D39</f>
        <v>Supported</v>
      </c>
      <c r="D125" s="15">
        <f>FR7_RA!D38</f>
        <v>0</v>
      </c>
      <c r="F125" s="12" t="s">
        <v>104</v>
      </c>
      <c r="G125" s="12" t="str">
        <f>FR7_RA!A37</f>
        <v>CR</v>
      </c>
      <c r="H125" s="14" t="str">
        <f>FR7_RA!B37</f>
        <v>7.7</v>
      </c>
      <c r="I125" s="12" t="s">
        <v>105</v>
      </c>
      <c r="L125" s="14">
        <f>FR7_RA!J39</f>
        <v>1</v>
      </c>
    </row>
    <row r="126" spans="1:12" ht="29" x14ac:dyDescent="0.35">
      <c r="A126" s="12">
        <v>125</v>
      </c>
      <c r="B126" s="12" t="str">
        <f t="shared" si="3"/>
        <v>IEC 62443-4-2 - 7.8 CR</v>
      </c>
      <c r="C126" s="14">
        <f>FR7_RA!D42</f>
        <v>0</v>
      </c>
      <c r="D126" s="15" t="str">
        <f>FR7_RA!D41</f>
        <v>Note: -3-3 SR 7.8 requires that "The control system shall provide the capability to report the current list of installed components and their associated properties."</v>
      </c>
      <c r="E126" s="12"/>
      <c r="F126" s="12" t="s">
        <v>104</v>
      </c>
      <c r="G126" s="12" t="str">
        <f>FR7_RA!A40</f>
        <v>CR</v>
      </c>
      <c r="H126" s="14" t="str">
        <f>FR7_RA!B40</f>
        <v>7.8</v>
      </c>
      <c r="I126" s="12" t="s">
        <v>105</v>
      </c>
      <c r="L126" s="14">
        <f>FR7_RA!J42</f>
        <v>2</v>
      </c>
    </row>
    <row r="127" spans="1:12" x14ac:dyDescent="0.35">
      <c r="C127" s="14"/>
    </row>
    <row r="128" spans="1:12" x14ac:dyDescent="0.35">
      <c r="C128" s="14"/>
    </row>
  </sheetData>
  <autoFilter ref="A1:L126" xr:uid="{21BB276B-F553-4AD0-8E1D-B20513AFED15}"/>
  <pageMargins left="0.7" right="0.7" top="0.75" bottom="0.75" header="0.3" footer="0.3"/>
  <pageSetup paperSize="9" orientation="portrait"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A6FF6-7074-4F28-B4F1-4E50860C6E8A}">
  <sheetPr filterMode="1"/>
  <dimension ref="A1:N126"/>
  <sheetViews>
    <sheetView zoomScale="120" zoomScaleNormal="120" workbookViewId="0">
      <pane xSplit="2" ySplit="1" topLeftCell="C2" activePane="bottomRight" state="frozen"/>
      <selection pane="topRight" activeCell="C1" sqref="C1"/>
      <selection pane="bottomLeft" activeCell="A2" sqref="A2"/>
      <selection pane="bottomRight" activeCell="C111" sqref="C111"/>
    </sheetView>
  </sheetViews>
  <sheetFormatPr defaultColWidth="9.36328125" defaultRowHeight="14.5" x14ac:dyDescent="0.35"/>
  <cols>
    <col min="1" max="1" width="5.36328125" style="12" bestFit="1" customWidth="1"/>
    <col min="2" max="2" width="25.6328125" style="12" bestFit="1" customWidth="1"/>
    <col min="3" max="3" width="19.36328125" style="13" customWidth="1"/>
    <col min="4" max="4" width="10.453125" style="12" bestFit="1" customWidth="1"/>
    <col min="5" max="5" width="71.36328125" style="12" customWidth="1"/>
    <col min="6" max="6" width="156.453125" style="13" customWidth="1"/>
    <col min="7" max="7" width="19.453125" style="13" customWidth="1"/>
    <col min="8" max="8" width="12.453125" style="12" bestFit="1" customWidth="1"/>
    <col min="9" max="9" width="9.36328125" style="12"/>
    <col min="10" max="10" width="11.453125" style="12" bestFit="1" customWidth="1"/>
    <col min="11" max="11" width="11" style="12" bestFit="1" customWidth="1"/>
    <col min="12" max="12" width="15.6328125" style="12" customWidth="1"/>
    <col min="13" max="13" width="14.36328125" style="12" customWidth="1"/>
    <col min="14" max="16384" width="9.36328125" style="12"/>
  </cols>
  <sheetData>
    <row r="1" spans="1:14" ht="29" x14ac:dyDescent="0.35">
      <c r="A1" s="10" t="s">
        <v>86</v>
      </c>
      <c r="B1" s="10" t="s">
        <v>87</v>
      </c>
      <c r="C1" s="11" t="s">
        <v>88</v>
      </c>
      <c r="D1" s="11" t="s">
        <v>182</v>
      </c>
      <c r="E1" s="11" t="s">
        <v>183</v>
      </c>
      <c r="F1" s="11" t="s">
        <v>184</v>
      </c>
      <c r="G1" s="11" t="s">
        <v>181</v>
      </c>
      <c r="H1" s="10" t="s">
        <v>96</v>
      </c>
      <c r="I1" s="10" t="s">
        <v>97</v>
      </c>
      <c r="J1" s="10" t="s">
        <v>98</v>
      </c>
      <c r="K1" s="10" t="s">
        <v>55</v>
      </c>
      <c r="L1" s="10" t="s">
        <v>100</v>
      </c>
      <c r="M1" s="10" t="s">
        <v>101</v>
      </c>
      <c r="N1" s="10" t="s">
        <v>94</v>
      </c>
    </row>
    <row r="2" spans="1:14" ht="72.5" hidden="1" x14ac:dyDescent="0.35">
      <c r="A2" s="12">
        <v>1</v>
      </c>
      <c r="B2" s="12" t="str">
        <f t="shared" ref="B2:B33" si="0">CONCATENATE(H2," - ",J2," ",I2)</f>
        <v>IEC 62443-4-2 - 1.1 CR</v>
      </c>
      <c r="C2" s="14">
        <f>FR1_IAC!D11</f>
        <v>0</v>
      </c>
      <c r="D2" s="15">
        <f>FR1_IAC!K10</f>
        <v>0</v>
      </c>
      <c r="E2" s="15">
        <f>FR1_IAC!D10</f>
        <v>0</v>
      </c>
      <c r="F2" s="15" t="str">
        <f>FR1_IAC!C10</f>
        <v>Components shall provide the capability to identify and authenticate all human users according to ISA‑62443‑3‑3 SR 1.1 on all interfaces capable of human user access. This capability shall enforce such identification and authentication on all interfaces that provide human user access to the component to support segregation of duties and least privilege in accordance with applicable security policies and procedures. This capability may be provided locally by the component or by integration into a system level identification and authentication system.
Note: Applicable security policies are a local matter.</v>
      </c>
      <c r="H2" s="12" t="s">
        <v>104</v>
      </c>
      <c r="I2" s="14" t="str">
        <f>FR1_IAC!A9</f>
        <v>CR</v>
      </c>
      <c r="J2" s="14" t="str">
        <f>FR1_IAC!B9</f>
        <v>1.1</v>
      </c>
      <c r="K2" s="12" t="s">
        <v>105</v>
      </c>
      <c r="N2" s="14">
        <f>FR1_IAC!J11</f>
        <v>1</v>
      </c>
    </row>
    <row r="3" spans="1:14" hidden="1" x14ac:dyDescent="0.35">
      <c r="A3" s="12">
        <v>2</v>
      </c>
      <c r="B3" s="12" t="str">
        <f t="shared" si="0"/>
        <v>IEC 62443-4-2 - 1.1.1 CR RE</v>
      </c>
      <c r="C3" s="14">
        <f>FR1_IAC!D14</f>
        <v>0</v>
      </c>
      <c r="D3" s="15">
        <f>FR1_IAC!K13</f>
        <v>0</v>
      </c>
      <c r="E3" s="15">
        <f>FR1_IAC!D13</f>
        <v>0</v>
      </c>
      <c r="F3" s="15" t="str">
        <f>FR1_IAC!C13</f>
        <v>Components shall provide the capability to uniquely identify and authenticate all human users</v>
      </c>
      <c r="G3" s="12"/>
      <c r="H3" s="12" t="s">
        <v>104</v>
      </c>
      <c r="I3" s="14" t="str">
        <f>FR1_IAC!A12</f>
        <v>CR RE</v>
      </c>
      <c r="J3" s="14" t="str">
        <f>FR1_IAC!B12</f>
        <v>1.1.1</v>
      </c>
      <c r="K3" s="12" t="s">
        <v>105</v>
      </c>
      <c r="N3" s="14">
        <f>FR1_IAC!J14</f>
        <v>2</v>
      </c>
    </row>
    <row r="4" spans="1:14" hidden="1" x14ac:dyDescent="0.35">
      <c r="A4" s="12">
        <v>3</v>
      </c>
      <c r="B4" s="12" t="str">
        <f t="shared" si="0"/>
        <v>IEC 62443-4-2 - 1.1.2 CR RE</v>
      </c>
      <c r="C4" s="14">
        <f>FR1_IAC!D17</f>
        <v>0</v>
      </c>
      <c r="D4" s="15">
        <f>FR1_IAC!K16</f>
        <v>0</v>
      </c>
      <c r="E4" s="15">
        <f>FR1_IAC!D16</f>
        <v>0</v>
      </c>
      <c r="F4" s="15" t="str">
        <f>FR1_IAC!C16</f>
        <v>Components shall provide the capability to employ multifactor authentication for all human user access to the component.</v>
      </c>
      <c r="G4" s="12"/>
      <c r="H4" s="12" t="s">
        <v>104</v>
      </c>
      <c r="I4" s="14" t="str">
        <f>FR1_IAC!A15</f>
        <v>CR RE</v>
      </c>
      <c r="J4" s="14" t="str">
        <f>FR1_IAC!B15</f>
        <v>1.1.2</v>
      </c>
      <c r="K4" s="12" t="s">
        <v>105</v>
      </c>
      <c r="N4" s="14">
        <f>FR1_IAC!J17</f>
        <v>3</v>
      </c>
    </row>
    <row r="5" spans="1:14" ht="58" hidden="1" x14ac:dyDescent="0.35">
      <c r="A5" s="12">
        <v>4</v>
      </c>
      <c r="B5" s="12" t="str">
        <f t="shared" si="0"/>
        <v>IEC 62443-4-2 - 1.2 CR</v>
      </c>
      <c r="C5" s="14">
        <f>FR1_IAC!D20</f>
        <v>0</v>
      </c>
      <c r="D5" s="15">
        <f>FR1_IAC!K19</f>
        <v>0</v>
      </c>
      <c r="E5" s="15">
        <f>FR1_IAC!D19</f>
        <v>0</v>
      </c>
      <c r="F5" s="15" t="str">
        <f>FR1_IAC!C19</f>
        <v>The component shall provide the capability to identify itself and authenticate to any other component (software application, embedded devices, host devices and network devices), according to ISA‑62443‑3‑3 SR1.2
If the component is running in the context of a human user, in addition, the identification and authentication of the human user according to ISA‑62443‑3‑3 SR1.1 may be part of the component identification and authentication process towards the other components.</v>
      </c>
      <c r="G5" s="12"/>
      <c r="H5" s="12" t="s">
        <v>104</v>
      </c>
      <c r="I5" s="14" t="str">
        <f>FR1_IAC!A18</f>
        <v>CR</v>
      </c>
      <c r="J5" s="14" t="str">
        <f>FR1_IAC!B18</f>
        <v>1.2</v>
      </c>
      <c r="K5" s="12" t="s">
        <v>105</v>
      </c>
      <c r="N5" s="14">
        <f>FR1_IAC!J20</f>
        <v>2</v>
      </c>
    </row>
    <row r="6" spans="1:14" hidden="1" x14ac:dyDescent="0.35">
      <c r="A6" s="12">
        <v>5</v>
      </c>
      <c r="B6" s="12" t="str">
        <f t="shared" si="0"/>
        <v>IEC 62443-4-2 - 1.2.1 CR RE</v>
      </c>
      <c r="C6" s="14">
        <f>FR1_IAC!D23</f>
        <v>0</v>
      </c>
      <c r="D6" s="15">
        <f>FR1_IAC!K22</f>
        <v>0</v>
      </c>
      <c r="E6" s="15">
        <f>FR1_IAC!D22</f>
        <v>0</v>
      </c>
      <c r="F6" s="15" t="str">
        <f>FR1_IAC!C22</f>
        <v>The component shall provide the capability to uniquely identify and authenticate itself to any other component.</v>
      </c>
      <c r="H6" s="12" t="s">
        <v>104</v>
      </c>
      <c r="I6" s="14" t="str">
        <f>FR1_IAC!A21</f>
        <v>CR RE</v>
      </c>
      <c r="J6" s="14" t="str">
        <f>FR1_IAC!B21</f>
        <v>1.2.1</v>
      </c>
      <c r="K6" s="12" t="s">
        <v>105</v>
      </c>
      <c r="N6" s="14">
        <f>FR1_IAC!J23</f>
        <v>3</v>
      </c>
    </row>
    <row r="7" spans="1:14" ht="29" hidden="1" x14ac:dyDescent="0.35">
      <c r="A7" s="12">
        <v>7</v>
      </c>
      <c r="B7" s="12" t="str">
        <f t="shared" si="0"/>
        <v>IEC 62443-4-2 - 1.4 CR</v>
      </c>
      <c r="C7" s="14">
        <f>FR1_IAC!D29</f>
        <v>0</v>
      </c>
      <c r="D7" s="15">
        <f>FR1_IAC!K28</f>
        <v>0</v>
      </c>
      <c r="E7" s="15">
        <f>FR1_IAC!D28</f>
        <v>0</v>
      </c>
      <c r="F7" s="15" t="str">
        <f>FR1_IAC!C28</f>
        <v>The component shall provide the capability to integrate into a system that supports the management of identifiers and/or provide the capability to support the management of identifiers directly according to ISA‑62443‑3‑3  SR 1.4</v>
      </c>
      <c r="G7" s="12"/>
      <c r="H7" s="12" t="s">
        <v>104</v>
      </c>
      <c r="I7" s="14" t="str">
        <f>FR1_IAC!A27</f>
        <v>CR</v>
      </c>
      <c r="J7" s="14" t="str">
        <f>FR1_IAC!B27</f>
        <v>1.4</v>
      </c>
      <c r="K7" s="12" t="s">
        <v>105</v>
      </c>
      <c r="N7" s="14">
        <f>FR1_IAC!J29</f>
        <v>1</v>
      </c>
    </row>
    <row r="8" spans="1:14" ht="29" hidden="1" x14ac:dyDescent="0.35">
      <c r="A8" s="12">
        <v>9</v>
      </c>
      <c r="B8" s="12" t="str">
        <f t="shared" si="0"/>
        <v>IEC 62443-4-2 - 1.5.1 CR RE</v>
      </c>
      <c r="C8" s="14">
        <f>FR1_IAC!D38</f>
        <v>0</v>
      </c>
      <c r="D8" s="15">
        <f>FR1_IAC!K37</f>
        <v>0</v>
      </c>
      <c r="E8" s="15">
        <f>FR1_IAC!D37</f>
        <v>0</v>
      </c>
      <c r="F8" s="15" t="str">
        <f>FR1_IAC!C37</f>
        <v>The authenticators on which the component rely shall be protected via hardware mechanisms.
Note: Examples of hardware authentication include: Password protected memory, OTP memory, hardware data integrity checks, and device security boot mechanism.</v>
      </c>
      <c r="G8" s="12"/>
      <c r="H8" s="12" t="s">
        <v>104</v>
      </c>
      <c r="I8" s="14" t="str">
        <f>FR1_IAC!A36</f>
        <v>CR RE</v>
      </c>
      <c r="J8" s="14" t="str">
        <f>FR1_IAC!B36</f>
        <v>1.5.1</v>
      </c>
      <c r="K8" s="12" t="s">
        <v>105</v>
      </c>
      <c r="N8" s="14">
        <f>FR1_IAC!J38</f>
        <v>3</v>
      </c>
    </row>
    <row r="9" spans="1:14" ht="29" hidden="1" x14ac:dyDescent="0.35">
      <c r="A9" s="12">
        <v>10</v>
      </c>
      <c r="B9" s="12" t="str">
        <f t="shared" si="0"/>
        <v>IEC 62443-4-2 - 1.6 NDR</v>
      </c>
      <c r="C9" s="14">
        <f>FR1_IAC!D41</f>
        <v>0</v>
      </c>
      <c r="D9" s="15">
        <f>FR1_IAC!K40</f>
        <v>0</v>
      </c>
      <c r="E9" s="15" t="str">
        <f>FR1_IAC!D40</f>
        <v>MCSR MP-15 is focusing on application layer protocols, while wireless protocols typically act on lower layers (e.g. 802.11 on layer 2 and 1).</v>
      </c>
      <c r="F9" s="15" t="str">
        <f>FR1_IAC!C40</f>
        <v>A network device supporting wireless access management shall provide the capability to identify and authenticate all users (humans, software processes or devices) engaged in wireless communication.</v>
      </c>
      <c r="G9" s="12"/>
      <c r="H9" s="12" t="s">
        <v>104</v>
      </c>
      <c r="I9" s="14" t="str">
        <f>FR1_IAC!A39</f>
        <v>NDR</v>
      </c>
      <c r="J9" s="14" t="str">
        <f>FR1_IAC!B39</f>
        <v>1.6</v>
      </c>
      <c r="K9" s="12" t="s">
        <v>105</v>
      </c>
      <c r="N9" s="14">
        <f>FR1_IAC!J41</f>
        <v>1</v>
      </c>
    </row>
    <row r="10" spans="1:14" ht="29" hidden="1" x14ac:dyDescent="0.35">
      <c r="A10" s="12">
        <v>11</v>
      </c>
      <c r="B10" s="12" t="str">
        <f t="shared" si="0"/>
        <v>IEC 62443-4-2 - 1.6.1 NDR RE</v>
      </c>
      <c r="C10" s="14">
        <f>FR1_IAC!D44</f>
        <v>0</v>
      </c>
      <c r="D10" s="15">
        <f>FR1_IAC!K43</f>
        <v>0</v>
      </c>
      <c r="E10" s="15" t="str">
        <f>FR1_IAC!D43</f>
        <v>MCSR MP-15 is focusing on application layer protocols, while wireless protocols typically act on lower layers (e.g. 802.11 on layer 2 and 1).</v>
      </c>
      <c r="F10" s="15" t="str">
        <f>FR1_IAC!C43</f>
        <v>The network device shall provide the capability to uniquely identify and authenticate all users (humans, software processes or devices) engaged in wireless communication.</v>
      </c>
      <c r="G10" s="12"/>
      <c r="H10" s="12" t="s">
        <v>104</v>
      </c>
      <c r="I10" s="14" t="str">
        <f>FR1_IAC!A42</f>
        <v>NDR RE</v>
      </c>
      <c r="J10" s="14" t="str">
        <f>FR1_IAC!B42</f>
        <v>1.6.1</v>
      </c>
      <c r="K10" s="12" t="s">
        <v>105</v>
      </c>
      <c r="N10" s="14">
        <f>FR1_IAC!J44</f>
        <v>2</v>
      </c>
    </row>
    <row r="11" spans="1:14" ht="29" hidden="1" x14ac:dyDescent="0.35">
      <c r="A11" s="12">
        <v>12</v>
      </c>
      <c r="B11" s="12" t="str">
        <f t="shared" si="0"/>
        <v>IEC 62443-4-2 - 1.7 CR</v>
      </c>
      <c r="C11" s="14">
        <f>FR1_IAC!D47</f>
        <v>0</v>
      </c>
      <c r="D11" s="15">
        <f>FR1_IAC!K46</f>
        <v>0</v>
      </c>
      <c r="E11" s="15">
        <f>FR1_IAC!D46</f>
        <v>0</v>
      </c>
      <c r="F11" s="15" t="str">
        <f>FR1_IAC!C46</f>
        <v>For components that utilize password-based authentication, those component shall provide or integrate into a system that provides the capability to enforce configurable password strength based on internationally recognized and proven password guidelines.</v>
      </c>
      <c r="G11" s="12"/>
      <c r="H11" s="12" t="s">
        <v>104</v>
      </c>
      <c r="I11" s="14" t="str">
        <f>FR1_IAC!A45</f>
        <v>CR</v>
      </c>
      <c r="J11" s="14" t="str">
        <f>FR1_IAC!B45</f>
        <v>1.7</v>
      </c>
      <c r="K11" s="12" t="s">
        <v>105</v>
      </c>
      <c r="N11" s="14">
        <f>FR1_IAC!J47</f>
        <v>1</v>
      </c>
    </row>
    <row r="12" spans="1:14" ht="58" hidden="1" x14ac:dyDescent="0.35">
      <c r="A12" s="12">
        <v>13</v>
      </c>
      <c r="B12" s="12" t="str">
        <f t="shared" si="0"/>
        <v>IEC 62443-4-2 - 1.7.1 CR RE</v>
      </c>
      <c r="C12" s="14">
        <f>FR1_IAC!D50</f>
        <v>0</v>
      </c>
      <c r="D12" s="15">
        <f>FR1_IAC!K49</f>
        <v>0</v>
      </c>
      <c r="E12" s="15">
        <f>FR1_IAC!D49</f>
        <v>0</v>
      </c>
      <c r="F12" s="15" t="str">
        <f>FR1_IAC!C49</f>
        <v>Components shall provide, or integrate into a system that provides, the capability to protect against any given human user account from reusing a password for a configurable number of generations. In addition, the component shall provide the capability to enforce password minimum and maximum lifetime restrictions for human users. These capabilities shall conform to commonly accepted security industry practices. The component should provide the capability to prompt the user to change their password upon a configurable time prior to expiration.</v>
      </c>
      <c r="G12" s="12"/>
      <c r="H12" s="12" t="s">
        <v>104</v>
      </c>
      <c r="I12" s="14" t="str">
        <f>FR1_IAC!A48</f>
        <v>CR RE</v>
      </c>
      <c r="J12" s="14" t="str">
        <f>FR1_IAC!B48</f>
        <v>1.7.1</v>
      </c>
      <c r="K12" s="12" t="s">
        <v>105</v>
      </c>
      <c r="N12" s="14">
        <f>FR1_IAC!J50</f>
        <v>3</v>
      </c>
    </row>
    <row r="13" spans="1:14" hidden="1" x14ac:dyDescent="0.35">
      <c r="A13" s="12">
        <v>14</v>
      </c>
      <c r="B13" s="12" t="str">
        <f t="shared" si="0"/>
        <v>IEC 62443-4-2 - 1.7.2 CR RE</v>
      </c>
      <c r="C13" s="14">
        <f>FR1_IAC!D53</f>
        <v>0</v>
      </c>
      <c r="D13" s="15">
        <f>FR1_IAC!K52</f>
        <v>0</v>
      </c>
      <c r="E13" s="15">
        <f>FR1_IAC!D52</f>
        <v>0</v>
      </c>
      <c r="F13" s="15" t="str">
        <f>FR1_IAC!C52</f>
        <v>Components shall provide, or integrate into a system that provides, the capability to enforce password minimum and maximum lifetime restrictions for all users.</v>
      </c>
      <c r="G13" s="12"/>
      <c r="H13" s="12" t="s">
        <v>104</v>
      </c>
      <c r="I13" s="14" t="str">
        <f>FR1_IAC!A51</f>
        <v>CR RE</v>
      </c>
      <c r="J13" s="14" t="str">
        <f>FR1_IAC!B51</f>
        <v>1.7.2</v>
      </c>
      <c r="K13" s="12" t="s">
        <v>105</v>
      </c>
      <c r="N13" s="14">
        <f>FR1_IAC!J53</f>
        <v>4</v>
      </c>
    </row>
    <row r="14" spans="1:14" ht="29" hidden="1" x14ac:dyDescent="0.35">
      <c r="A14" s="12">
        <v>15</v>
      </c>
      <c r="B14" s="12" t="str">
        <f t="shared" si="0"/>
        <v>IEC 62443-4-2 - 1.8 CR</v>
      </c>
      <c r="C14" s="14">
        <f>FR1_IAC!D56</f>
        <v>0</v>
      </c>
      <c r="D14" s="15">
        <f>FR1_IAC!K55</f>
        <v>0</v>
      </c>
      <c r="E14" s="15">
        <f>FR1_IAC!D55</f>
        <v>0</v>
      </c>
      <c r="F14" s="15" t="str">
        <f>FR1_IAC!C55</f>
        <v>When public key infrastructure (PKI) is utilized, the component shall provide or integrate into a system that provides the capability to interact and operate in accordance with ISA‑62443‑3‑3  SR1.8</v>
      </c>
      <c r="G14" s="12"/>
      <c r="H14" s="12" t="s">
        <v>104</v>
      </c>
      <c r="I14" s="14" t="str">
        <f>FR1_IAC!A54</f>
        <v>CR</v>
      </c>
      <c r="J14" s="14" t="str">
        <f>FR1_IAC!B54</f>
        <v>1.8</v>
      </c>
      <c r="K14" s="12" t="s">
        <v>105</v>
      </c>
      <c r="N14" s="14">
        <f>FR1_IAC!J56</f>
        <v>2</v>
      </c>
    </row>
    <row r="15" spans="1:14" ht="116" hidden="1" x14ac:dyDescent="0.35">
      <c r="A15" s="12">
        <v>16</v>
      </c>
      <c r="B15" s="12" t="str">
        <f t="shared" si="0"/>
        <v>IEC 62443-4-2 - 1.9 CR</v>
      </c>
      <c r="C15" s="14">
        <f>FR1_IAC!D59</f>
        <v>0</v>
      </c>
      <c r="D15" s="15">
        <f>FR1_IAC!K58</f>
        <v>0</v>
      </c>
      <c r="E15" s="15">
        <f>FR1_IAC!D58</f>
        <v>0</v>
      </c>
      <c r="F15" s="15" t="str">
        <f>FR1_IAC!C58</f>
        <v>For components that utilize public key authentication, those components shall provide directly or integrate into a system that provides the capability within the same IACS environment to:
a) validate certificates by checking the validity of the signature of a given certificate;
b) validate the certificate chain or, in the case of self-signed certificates, by deploying leaf certificates to all hosts that communicate with the subject to which the certificate is issued;
c) validate certificates by checking a given certificate’s revocation status;
d) establish user (human, software process or device) control of the corresponding private key; 
e) map the authenticated identity to a user (human, software process or device); and
f) ensure that the algorithms and keys used for the symmetric key authentication comply with 8.5 CR 4.3 – Use of cryptography.</v>
      </c>
      <c r="G15" s="12"/>
      <c r="H15" s="12" t="s">
        <v>104</v>
      </c>
      <c r="I15" s="14" t="str">
        <f>FR1_IAC!A57</f>
        <v>CR</v>
      </c>
      <c r="J15" s="14" t="str">
        <f>FR1_IAC!B57</f>
        <v>1.9</v>
      </c>
      <c r="K15" s="12" t="s">
        <v>105</v>
      </c>
      <c r="N15" s="14">
        <f>FR1_IAC!J59</f>
        <v>2</v>
      </c>
    </row>
    <row r="16" spans="1:14" ht="29" hidden="1" x14ac:dyDescent="0.35">
      <c r="A16" s="12">
        <v>17</v>
      </c>
      <c r="B16" s="12" t="str">
        <f t="shared" si="0"/>
        <v>IEC 62443-4-2 - 1.9.1 CR RE</v>
      </c>
      <c r="C16" s="14">
        <f>FR1_IAC!D62</f>
        <v>0</v>
      </c>
      <c r="D16" s="15">
        <f>FR1_IAC!K61</f>
        <v>0</v>
      </c>
      <c r="E16" s="15">
        <f>FR1_IAC!D61</f>
        <v>0</v>
      </c>
      <c r="F16" s="15" t="str">
        <f>FR1_IAC!C61</f>
        <v>Hardware security for public key authentication
Components shall provide the capability to protect critical, long-lived private keys via hardware mechanisms.</v>
      </c>
      <c r="G16" s="12"/>
      <c r="H16" s="12" t="s">
        <v>104</v>
      </c>
      <c r="I16" s="14" t="str">
        <f>FR1_IAC!A60</f>
        <v>CR RE</v>
      </c>
      <c r="J16" s="14" t="str">
        <f>FR1_IAC!B60</f>
        <v>1.9.1</v>
      </c>
      <c r="K16" s="12" t="s">
        <v>105</v>
      </c>
      <c r="N16" s="14">
        <f>FR1_IAC!J62</f>
        <v>3</v>
      </c>
    </row>
    <row r="17" spans="1:14" ht="29" hidden="1" x14ac:dyDescent="0.35">
      <c r="A17" s="12">
        <v>18</v>
      </c>
      <c r="B17" s="12" t="str">
        <f t="shared" si="0"/>
        <v>IEC 62443-4-2 - 1.10 CR</v>
      </c>
      <c r="C17" s="14">
        <f>FR1_IAC!D65</f>
        <v>0</v>
      </c>
      <c r="D17" s="15">
        <f>FR1_IAC!K64</f>
        <v>0</v>
      </c>
      <c r="E17" s="15">
        <f>FR1_IAC!D64</f>
        <v>0</v>
      </c>
      <c r="F17" s="15" t="str">
        <f>FR1_IAC!C64</f>
        <v>When a component provides an authentication capability, the component shall provide the capability to obscure feedback of authentication information during the authentication process.</v>
      </c>
      <c r="G17" s="12"/>
      <c r="H17" s="12" t="s">
        <v>104</v>
      </c>
      <c r="I17" s="14" t="str">
        <f>FR1_IAC!A63</f>
        <v>CR</v>
      </c>
      <c r="J17" s="14" t="str">
        <f>FR1_IAC!B63</f>
        <v>1.10</v>
      </c>
      <c r="K17" s="12" t="s">
        <v>105</v>
      </c>
      <c r="N17" s="14">
        <f>FR1_IAC!J65</f>
        <v>1</v>
      </c>
    </row>
    <row r="18" spans="1:14" ht="58" hidden="1" x14ac:dyDescent="0.35">
      <c r="A18" s="12">
        <v>19</v>
      </c>
      <c r="B18" s="12" t="str">
        <f t="shared" si="0"/>
        <v>IEC 62443-4-2 - 1.11 CR</v>
      </c>
      <c r="C18" s="14">
        <f>FR1_IAC!D68</f>
        <v>0</v>
      </c>
      <c r="D18" s="15">
        <f>FR1_IAC!K67</f>
        <v>0</v>
      </c>
      <c r="E18" s="15">
        <f>FR1_IAC!D67</f>
        <v>0</v>
      </c>
      <c r="F18" s="15" t="str">
        <f>FR1_IAC!C67</f>
        <v>When a component provides an authentication capability, the component shall provide the capability to:
a) enforce a limit of a configurable number of consecutive invalid access attempts by any user (human, software process or device) during a configurable time period; and
b) deny access for a specified period of time or until unlocked by an administrator when this limit has been reached. An administrator may unlock an account prior to the expiration of the timeout period.</v>
      </c>
      <c r="G18" s="12"/>
      <c r="H18" s="12" t="s">
        <v>104</v>
      </c>
      <c r="I18" s="14" t="str">
        <f>FR1_IAC!A66</f>
        <v>CR</v>
      </c>
      <c r="J18" s="14" t="str">
        <f>FR1_IAC!B66</f>
        <v>1.11</v>
      </c>
      <c r="K18" s="12" t="s">
        <v>105</v>
      </c>
      <c r="N18" s="14">
        <f>FR1_IAC!J68</f>
        <v>1</v>
      </c>
    </row>
    <row r="19" spans="1:14" ht="29" hidden="1" x14ac:dyDescent="0.35">
      <c r="A19" s="12">
        <v>20</v>
      </c>
      <c r="B19" s="12" t="str">
        <f t="shared" si="0"/>
        <v>IEC 62443-4-2 - 1.12 CR</v>
      </c>
      <c r="C19" s="14">
        <f>FR1_IAC!D71</f>
        <v>0</v>
      </c>
      <c r="D19" s="15">
        <f>FR1_IAC!K70</f>
        <v>0</v>
      </c>
      <c r="E19" s="15">
        <f>FR1_IAC!D70</f>
        <v>0</v>
      </c>
      <c r="F19" s="15" t="str">
        <f>FR1_IAC!C70</f>
        <v>When a component provides local human user access/HMI, it shall provide the capability to display a system use notification message before authenticating. The system use notification message shall be configurable by authorized personnel.</v>
      </c>
      <c r="G19" s="12"/>
      <c r="H19" s="12" t="s">
        <v>104</v>
      </c>
      <c r="I19" s="14" t="str">
        <f>FR1_IAC!A69</f>
        <v>CR</v>
      </c>
      <c r="J19" s="14" t="str">
        <f>FR1_IAC!B69</f>
        <v>1.12</v>
      </c>
      <c r="K19" s="12" t="s">
        <v>105</v>
      </c>
      <c r="N19" s="14">
        <f>FR1_IAC!J71</f>
        <v>1</v>
      </c>
    </row>
    <row r="20" spans="1:14" hidden="1" x14ac:dyDescent="0.35">
      <c r="A20" s="12">
        <v>21</v>
      </c>
      <c r="B20" s="12" t="str">
        <f t="shared" si="0"/>
        <v>IEC 62443-4-2 - 1.13 NDR</v>
      </c>
      <c r="C20" s="14">
        <f>FR1_IAC!D74</f>
        <v>0</v>
      </c>
      <c r="D20" s="15">
        <f>FR1_IAC!K73</f>
        <v>0</v>
      </c>
      <c r="E20" s="15">
        <f>FR1_IAC!D73</f>
        <v>0</v>
      </c>
      <c r="F20" s="15" t="str">
        <f>FR1_IAC!C73</f>
        <v>The network device supporting device access into a network shall provide the capability to monitor and control all methods of access to the network device via untrusted networks.</v>
      </c>
      <c r="G20" s="12"/>
      <c r="H20" s="12" t="s">
        <v>104</v>
      </c>
      <c r="I20" s="14" t="str">
        <f>FR1_IAC!A72</f>
        <v>NDR</v>
      </c>
      <c r="J20" s="14" t="str">
        <f>FR1_IAC!B72</f>
        <v>1.13</v>
      </c>
      <c r="K20" s="12" t="s">
        <v>105</v>
      </c>
      <c r="N20" s="14">
        <f>FR1_IAC!J74</f>
        <v>1</v>
      </c>
    </row>
    <row r="21" spans="1:14" hidden="1" x14ac:dyDescent="0.35">
      <c r="A21" s="12">
        <v>22</v>
      </c>
      <c r="B21" s="12" t="str">
        <f t="shared" si="0"/>
        <v>IEC 62443-4-2 - 1.13.1 NDR RE</v>
      </c>
      <c r="C21" s="14">
        <f>FR1_IAC!D77</f>
        <v>0</v>
      </c>
      <c r="D21" s="15">
        <f>FR1_IAC!K76</f>
        <v>0</v>
      </c>
      <c r="E21" s="15">
        <f>FR1_IAC!D76</f>
        <v>0</v>
      </c>
      <c r="F21" s="15" t="str">
        <f>FR1_IAC!C76</f>
        <v>The network device shall provide the capability to deny access requests via untrusted networks unless explicitly approved by an assigned role.</v>
      </c>
      <c r="G21" s="12"/>
      <c r="H21" s="12" t="s">
        <v>104</v>
      </c>
      <c r="I21" s="14" t="str">
        <f>FR1_IAC!A75</f>
        <v>NDR RE</v>
      </c>
      <c r="J21" s="14" t="str">
        <f>FR1_IAC!B75</f>
        <v>1.13.1</v>
      </c>
      <c r="K21" s="12" t="s">
        <v>105</v>
      </c>
      <c r="N21" s="14">
        <f>FR1_IAC!J77</f>
        <v>3</v>
      </c>
    </row>
    <row r="22" spans="1:14" ht="72.5" hidden="1" x14ac:dyDescent="0.35">
      <c r="A22" s="12">
        <v>23</v>
      </c>
      <c r="B22" s="12" t="str">
        <f t="shared" si="0"/>
        <v>IEC 62443-4-2 - 1.14 CR</v>
      </c>
      <c r="C22" s="14">
        <f>FR1_IAC!D80</f>
        <v>0</v>
      </c>
      <c r="D22" s="15">
        <f>FR1_IAC!K79</f>
        <v>0</v>
      </c>
      <c r="E22" s="15">
        <f>FR1_IAC!D79</f>
        <v>0</v>
      </c>
      <c r="F22" s="15" t="str">
        <f>FR1_IAC!C79</f>
        <v>For components that utilize symmetric keys, the component shall provide the capability to:
a) establish the mutual trust using the symmetric key;
b) store securely the shared secret (the authentication is valid as long as the shared secret remains secret);
c) restrict access to the shared secret; and
d) ensure that the algorithms and keys used for the symmetric key authentication comply with CR 4.3 – Use of cryptography.</v>
      </c>
      <c r="G22" s="12"/>
      <c r="H22" s="12" t="s">
        <v>104</v>
      </c>
      <c r="I22" s="14" t="str">
        <f>FR1_IAC!A78</f>
        <v>CR</v>
      </c>
      <c r="J22" s="14" t="str">
        <f>FR1_IAC!B78</f>
        <v>1.14</v>
      </c>
      <c r="K22" s="12" t="s">
        <v>105</v>
      </c>
      <c r="N22" s="14">
        <f>FR1_IAC!J80</f>
        <v>2</v>
      </c>
    </row>
    <row r="23" spans="1:14" hidden="1" x14ac:dyDescent="0.35">
      <c r="A23" s="12">
        <v>24</v>
      </c>
      <c r="B23" s="12" t="str">
        <f t="shared" si="0"/>
        <v>IEC 62443-4-2 - 1.14.1 CR RE</v>
      </c>
      <c r="C23" s="14">
        <f>FR1_IAC!D83</f>
        <v>0</v>
      </c>
      <c r="D23" s="15">
        <f>FR1_IAC!K82</f>
        <v>0</v>
      </c>
      <c r="E23" s="15">
        <f>FR1_IAC!D82</f>
        <v>0</v>
      </c>
      <c r="F23" s="15" t="str">
        <f>FR1_IAC!C82</f>
        <v>Components shall provide the capability to protect critical, long lived symmetric keys via hardware mechanisms.</v>
      </c>
      <c r="G23" s="12"/>
      <c r="H23" s="12" t="s">
        <v>104</v>
      </c>
      <c r="I23" s="14" t="str">
        <f>FR1_IAC!A81</f>
        <v>CR RE</v>
      </c>
      <c r="J23" s="14" t="str">
        <f>FR1_IAC!B81</f>
        <v>1.14.1</v>
      </c>
      <c r="K23" s="12" t="s">
        <v>105</v>
      </c>
      <c r="N23" s="14">
        <f>FR1_IAC!J83</f>
        <v>3</v>
      </c>
    </row>
    <row r="24" spans="1:14" hidden="1" x14ac:dyDescent="0.35">
      <c r="A24" s="12">
        <v>25</v>
      </c>
      <c r="B24" s="12" t="str">
        <f t="shared" si="0"/>
        <v>IEC 62443-4-2 - 2.1 CR</v>
      </c>
      <c r="C24" s="14">
        <f>FR2_UC!D11</f>
        <v>0</v>
      </c>
      <c r="D24" s="15">
        <f>FR2_UC!K10</f>
        <v>0</v>
      </c>
      <c r="E24" s="15">
        <f>FR2_UC!D10</f>
        <v>0</v>
      </c>
      <c r="F24" s="15" t="str">
        <f>FR2_UC!C10</f>
        <v>The component shall provide an authorization enforcement mechanism for all identified and authenticated human users based on their assigned responsibilities.</v>
      </c>
      <c r="G24" s="12"/>
      <c r="H24" s="12" t="s">
        <v>104</v>
      </c>
      <c r="I24" s="12" t="str">
        <f>FR2_UC!A9</f>
        <v>CR</v>
      </c>
      <c r="J24" s="14" t="str">
        <f>FR2_UC!B9</f>
        <v>2.1</v>
      </c>
      <c r="K24" s="12" t="s">
        <v>105</v>
      </c>
      <c r="N24" s="14">
        <f>FR2_UC!J11</f>
        <v>1</v>
      </c>
    </row>
    <row r="25" spans="1:14" hidden="1" x14ac:dyDescent="0.35">
      <c r="A25" s="12">
        <v>26</v>
      </c>
      <c r="B25" s="12" t="str">
        <f t="shared" si="0"/>
        <v>IEC 62443-4-2 - 2.1.1 CR RE</v>
      </c>
      <c r="C25" s="14">
        <f>FR2_UC!D14</f>
        <v>0</v>
      </c>
      <c r="D25" s="15">
        <f>FR2_UC!K13</f>
        <v>0</v>
      </c>
      <c r="E25" s="15">
        <f>FR2_UC!D13</f>
        <v>0</v>
      </c>
      <c r="F25" s="15" t="str">
        <f>FR2_UC!C13</f>
        <v>Components shall provide an authorization enforcement mechanism for all users based on their assigned responsibilities and least privilege.</v>
      </c>
      <c r="G25" s="12"/>
      <c r="H25" s="12" t="s">
        <v>104</v>
      </c>
      <c r="I25" s="12" t="str">
        <f>FR2_UC!A12</f>
        <v>CR RE</v>
      </c>
      <c r="J25" s="14" t="str">
        <f>FR2_UC!B12</f>
        <v>2.1.1</v>
      </c>
      <c r="K25" s="12" t="s">
        <v>105</v>
      </c>
      <c r="N25" s="14">
        <f>FR2_UC!J14</f>
        <v>2</v>
      </c>
    </row>
    <row r="26" spans="1:14" ht="72.5" hidden="1" x14ac:dyDescent="0.35">
      <c r="A26" s="12">
        <v>27</v>
      </c>
      <c r="B26" s="12" t="str">
        <f t="shared" si="0"/>
        <v>IEC 62443-4-2 - 2.1.2 CR RE</v>
      </c>
      <c r="C26" s="14">
        <f>FR2_UC!D17</f>
        <v>0</v>
      </c>
      <c r="D26" s="15">
        <f>FR2_UC!K16</f>
        <v>0</v>
      </c>
      <c r="E26" s="15">
        <f>FR2_UC!D16</f>
        <v>0</v>
      </c>
      <c r="F26" s="15" t="str">
        <f>FR2_UC!C16</f>
        <v>Components shall, directly or through a compensating security mechanism, provide for an
authorized role to define and modify the mapping of permissions to roles for all human users.
Roles should not be limited to fixed nested hierarchies in which a higher-level role is a
super set of a lesser privileged role. For example, a system administrator should not necessarily encompass operator privileges.
NOTE 1 This RE is applicable to software processes and devices as well.</v>
      </c>
      <c r="H26" s="12" t="s">
        <v>104</v>
      </c>
      <c r="I26" s="12" t="str">
        <f>FR2_UC!A15</f>
        <v>CR RE</v>
      </c>
      <c r="J26" s="14" t="str">
        <f>FR2_UC!B15</f>
        <v>2.1.2</v>
      </c>
      <c r="K26" s="12" t="s">
        <v>105</v>
      </c>
      <c r="N26" s="14">
        <f>FR2_UC!J17</f>
        <v>2</v>
      </c>
    </row>
    <row r="27" spans="1:14" ht="43.5" hidden="1" x14ac:dyDescent="0.35">
      <c r="A27" s="12">
        <v>28</v>
      </c>
      <c r="B27" s="12" t="str">
        <f t="shared" si="0"/>
        <v>IEC 62443-4-2 - 2.1.3 CR RE</v>
      </c>
      <c r="C27" s="14">
        <f>FR2_UC!D20</f>
        <v>0</v>
      </c>
      <c r="D27" s="15">
        <f>FR2_UC!K19</f>
        <v>0</v>
      </c>
      <c r="E27" s="15">
        <f>FR2_UC!D19</f>
        <v>0</v>
      </c>
      <c r="F27" s="15" t="str">
        <f>FR2_UC!C19</f>
        <v>Components shall support a supervisor manual override for a configurable time or sequence of events.
NOTE 2 Implementation of a controlled, audited and manual override of automated mechanisms in the event of emergencies or other serious events is often needed. This allows a supervisor to enable an operator to quickly react to unusual conditions without closing the current session and establishing a new session as a higher privilege human user.</v>
      </c>
      <c r="H27" s="12" t="s">
        <v>104</v>
      </c>
      <c r="I27" s="12" t="str">
        <f>FR2_UC!A18</f>
        <v>CR RE</v>
      </c>
      <c r="J27" s="14" t="str">
        <f>FR2_UC!B18</f>
        <v>2.1.3</v>
      </c>
      <c r="K27" s="12" t="s">
        <v>105</v>
      </c>
      <c r="N27" s="14">
        <f>FR2_UC!J20</f>
        <v>3</v>
      </c>
    </row>
    <row r="28" spans="1:14" ht="101.5" hidden="1" x14ac:dyDescent="0.35">
      <c r="A28" s="12">
        <v>29</v>
      </c>
      <c r="B28" s="12" t="str">
        <f t="shared" si="0"/>
        <v>IEC 62443-4-2 - 2.1.4 CR RE</v>
      </c>
      <c r="C28" s="14">
        <f>FR2_UC!D23</f>
        <v>0</v>
      </c>
      <c r="D28" s="15">
        <f>FR2_UC!K22</f>
        <v>0</v>
      </c>
      <c r="E28" s="15">
        <f>FR2_UC!D22</f>
        <v>0</v>
      </c>
      <c r="F28" s="15" t="str">
        <f>FR2_UC!C22</f>
        <v>Components shall support dual approval when action can result in serious impact on the
industrial process.
Dual approval should be limited to actions which require a very high level of confidence that they will be performed reliably and correctly. Requiring dual approval provides emphasis to the seriousness of consequences that would result from failure of a correct action. An example of a situation in which dual approval is required would be a change to a set point of a critical industrial process. Dual approval mechanisms should not be
employed when an immediate response is necessary to safeguard HSE consequences, for
example, emergency shutdown of an industrial process.</v>
      </c>
      <c r="H28" s="12" t="s">
        <v>104</v>
      </c>
      <c r="I28" s="12" t="str">
        <f>FR2_UC!A21</f>
        <v>CR RE</v>
      </c>
      <c r="J28" s="14" t="str">
        <f>FR2_UC!B21</f>
        <v>2.1.4</v>
      </c>
      <c r="K28" s="12" t="s">
        <v>105</v>
      </c>
      <c r="N28" s="14">
        <f>FR2_UC!J23</f>
        <v>4</v>
      </c>
    </row>
    <row r="29" spans="1:14" ht="29" hidden="1" x14ac:dyDescent="0.35">
      <c r="A29" s="12">
        <v>30</v>
      </c>
      <c r="B29" s="12" t="str">
        <f t="shared" si="0"/>
        <v>IEC 62443-4-2 - 2.2 CR</v>
      </c>
      <c r="C29" s="14">
        <f>FR2_UC!D26</f>
        <v>0</v>
      </c>
      <c r="D29" s="15">
        <f>FR2_UC!K25</f>
        <v>0</v>
      </c>
      <c r="E29" s="15">
        <f>FR2_UC!D25</f>
        <v>0</v>
      </c>
      <c r="F29" s="15" t="str">
        <f>FR2_UC!C25</f>
        <v>If a component supports usage through wireless interfaces it shall provide the capability to authorize, monitor and enforce usage restrictions according to commonly accepted industry practices.</v>
      </c>
      <c r="G29" s="12"/>
      <c r="H29" s="12" t="s">
        <v>104</v>
      </c>
      <c r="I29" s="12" t="str">
        <f>FR2_UC!A24</f>
        <v>CR</v>
      </c>
      <c r="J29" s="14" t="str">
        <f>FR2_UC!B24</f>
        <v>2.2</v>
      </c>
      <c r="K29" s="12" t="s">
        <v>105</v>
      </c>
      <c r="N29" s="14">
        <f>FR2_UC!J26</f>
        <v>1</v>
      </c>
    </row>
    <row r="30" spans="1:14" hidden="1" x14ac:dyDescent="0.35">
      <c r="A30" s="12">
        <v>31</v>
      </c>
      <c r="B30" s="12" t="str">
        <f t="shared" si="0"/>
        <v>IEC 62443-4-2 - 2.3 CR</v>
      </c>
      <c r="C30" s="14">
        <f>FR2_UC!D29</f>
        <v>0</v>
      </c>
      <c r="D30" s="15">
        <f>FR2_UC!K28</f>
        <v>0</v>
      </c>
      <c r="E30" s="15">
        <f>FR2_UC!D28</f>
        <v>0</v>
      </c>
      <c r="F30" s="15" t="str">
        <f>FR2_UC!C28</f>
        <v xml:space="preserve">There is no component level requirement associated with ISA‑62443‑3‑3 SR 2.3. </v>
      </c>
      <c r="G30" s="12"/>
      <c r="H30" s="12" t="s">
        <v>104</v>
      </c>
      <c r="I30" s="12" t="str">
        <f>FR2_UC!A27</f>
        <v>CR</v>
      </c>
      <c r="J30" s="14" t="str">
        <f>FR2_UC!B27</f>
        <v>2.3</v>
      </c>
      <c r="K30" s="12" t="s">
        <v>105</v>
      </c>
      <c r="N30" s="14">
        <f>FR2_UC!J29</f>
        <v>0</v>
      </c>
    </row>
    <row r="31" spans="1:14" ht="72.5" hidden="1" x14ac:dyDescent="0.35">
      <c r="A31" s="12">
        <v>32</v>
      </c>
      <c r="B31" s="12" t="str">
        <f t="shared" si="0"/>
        <v>IEC 62443-4-2 - 2.4 SAR</v>
      </c>
      <c r="C31" s="14">
        <f>FR2_UC!D32</f>
        <v>0</v>
      </c>
      <c r="D31" s="15">
        <f>FR2_UC!K32</f>
        <v>0</v>
      </c>
      <c r="E31" s="15">
        <f>FR2_UC!D31</f>
        <v>0</v>
      </c>
      <c r="F31" s="15" t="str">
        <f>FR2_UC!C31</f>
        <v>In the event that a software application utilizes mobile code technologies, that application shall provide the capability to enforce a security policy for the usage of mobile code technologies.  The security policy shall allow, at a minimum, the following actions for each mobile code technology used on the software application:
a) Control execution of mobile code;
b) Control which users (human, software process, or device) are allowed to transfer mobile code to/from the application;
c) Control the execution of mobile code based on the results of an integrity check prior to the code being executed.</v>
      </c>
      <c r="G31" s="12"/>
      <c r="H31" s="12" t="s">
        <v>104</v>
      </c>
      <c r="I31" s="12" t="str">
        <f>FR2_UC!A30</f>
        <v>SAR</v>
      </c>
      <c r="J31" s="14" t="str">
        <f>FR2_UC!B30</f>
        <v>2.4</v>
      </c>
      <c r="K31" s="12" t="s">
        <v>105</v>
      </c>
      <c r="N31" s="14">
        <f>FR2_UC!J32</f>
        <v>1</v>
      </c>
    </row>
    <row r="32" spans="1:14" ht="29" hidden="1" x14ac:dyDescent="0.35">
      <c r="A32" s="12">
        <v>33</v>
      </c>
      <c r="B32" s="12" t="str">
        <f t="shared" si="0"/>
        <v>IEC 62443-4-2 - 2.4.1 SAR RE</v>
      </c>
      <c r="C32" s="14">
        <f>FR2_UC!D35</f>
        <v>0</v>
      </c>
      <c r="D32" s="15">
        <f>FR2_UC!K34</f>
        <v>0</v>
      </c>
      <c r="E32" s="15">
        <f>FR2_UC!D34</f>
        <v>0</v>
      </c>
      <c r="F32" s="15" t="str">
        <f>FR2_UC!C34</f>
        <v>The application shall provide the capability to enforce a security policy that allows the device to control execution of mobile code based on the results of an authenticity check prior to the code being executed.</v>
      </c>
      <c r="G32" s="12"/>
      <c r="H32" s="12" t="s">
        <v>104</v>
      </c>
      <c r="I32" s="12" t="str">
        <f>FR2_UC!A33</f>
        <v>SAR RE</v>
      </c>
      <c r="J32" s="14" t="str">
        <f>FR2_UC!B33</f>
        <v>2.4.1</v>
      </c>
      <c r="K32" s="12" t="s">
        <v>105</v>
      </c>
      <c r="N32" s="14">
        <f>FR2_UC!J35</f>
        <v>2</v>
      </c>
    </row>
    <row r="33" spans="1:14" ht="72.5" hidden="1" x14ac:dyDescent="0.35">
      <c r="A33" s="12">
        <v>36</v>
      </c>
      <c r="B33" s="12" t="str">
        <f t="shared" si="0"/>
        <v>IEC 62443-4-2 - 2.4 HDR</v>
      </c>
      <c r="C33" s="14">
        <f>FR2_UC!D46</f>
        <v>0</v>
      </c>
      <c r="D33" s="15">
        <f>FR2_UC!K45</f>
        <v>0</v>
      </c>
      <c r="E33" s="15">
        <f>FR2_UC!D45</f>
        <v>0</v>
      </c>
      <c r="F33" s="15" t="str">
        <f>FR2_UC!C45</f>
        <v>In the event that a host device utilizes mobile code technologies, the embedded device shall provide the capability to enforce a security policy for the usage of mobile code technologies.  The security policy shall allow, at a minimum, the following actions for each mobile code technology used on the host device:
a) Control execution of mobile code;
b) Control which users (human, software process, or device) are allowed to upload mobile code to the device;
c) Control the code execution based upon integrity checks on the mobile code and prior to the code being executed</v>
      </c>
      <c r="G33" s="12"/>
      <c r="H33" s="12" t="s">
        <v>104</v>
      </c>
      <c r="I33" s="12" t="str">
        <f>FR2_UC!A44</f>
        <v>HDR</v>
      </c>
      <c r="J33" s="14" t="str">
        <f>FR2_UC!B44</f>
        <v>2.4</v>
      </c>
      <c r="K33" s="12" t="s">
        <v>105</v>
      </c>
      <c r="N33" s="14">
        <f>FR2_UC!J46</f>
        <v>1</v>
      </c>
    </row>
    <row r="34" spans="1:14" ht="29" hidden="1" x14ac:dyDescent="0.35">
      <c r="A34" s="12">
        <v>37</v>
      </c>
      <c r="B34" s="12" t="str">
        <f t="shared" ref="B34:B65" si="1">CONCATENATE(H34," - ",J34," ",I34)</f>
        <v>IEC 62443-4-2 - 2.4.1 HDR RE</v>
      </c>
      <c r="C34" s="14">
        <f>FR2_UC!D49</f>
        <v>0</v>
      </c>
      <c r="D34" s="15">
        <f>FR2_UC!K48</f>
        <v>0</v>
      </c>
      <c r="E34" s="15">
        <f>FR2_UC!D48</f>
        <v>0</v>
      </c>
      <c r="F34" s="15" t="str">
        <f>FR2_UC!C48</f>
        <v>The host device shall provide the capability to enforce a security policy that allows the device to control execution of mobile code based on the results of an authenticity check prior to the code being executed</v>
      </c>
      <c r="H34" s="12" t="s">
        <v>104</v>
      </c>
      <c r="I34" s="12" t="str">
        <f>FR2_UC!A47</f>
        <v>HDR RE</v>
      </c>
      <c r="J34" s="14" t="str">
        <f>FR2_UC!B47</f>
        <v>2.4.1</v>
      </c>
      <c r="K34" s="12" t="s">
        <v>105</v>
      </c>
      <c r="N34" s="14">
        <f>FR2_UC!J49</f>
        <v>2</v>
      </c>
    </row>
    <row r="35" spans="1:14" ht="72.5" hidden="1" x14ac:dyDescent="0.35">
      <c r="A35" s="12">
        <v>38</v>
      </c>
      <c r="B35" s="12" t="str">
        <f t="shared" si="1"/>
        <v>IEC 62443-4-2 - 2.4 NDR</v>
      </c>
      <c r="C35" s="14">
        <f>FR2_UC!D52</f>
        <v>0</v>
      </c>
      <c r="D35" s="15">
        <f>FR2_UC!K51</f>
        <v>0</v>
      </c>
      <c r="E35" s="15">
        <f>FR2_UC!D51</f>
        <v>0</v>
      </c>
      <c r="F35" s="15" t="str">
        <f>FR2_UC!C51</f>
        <v>In the event that a network device utilizes mobile code technologies, the embedded device shall provide the capability to enforce a security policy for the usage of mobile code technologies.  The security policy shall allow, at a minimum, the following actions for each mobile code technology used on the network device:
a) Control execution of mobile code;
b) Control which users (human, software process, or device) are allowed to upload mobile code to the device;
c) Control the code execution based upon integrity checks on the mobile code and prior to the code being executed</v>
      </c>
      <c r="G35" s="12"/>
      <c r="H35" s="12" t="s">
        <v>104</v>
      </c>
      <c r="I35" s="12" t="str">
        <f>FR2_UC!A50</f>
        <v>NDR</v>
      </c>
      <c r="J35" s="14" t="str">
        <f>FR2_UC!B50</f>
        <v>2.4</v>
      </c>
      <c r="K35" s="12" t="s">
        <v>105</v>
      </c>
      <c r="N35" s="14">
        <f>FR2_UC!J52</f>
        <v>1</v>
      </c>
    </row>
    <row r="36" spans="1:14" ht="29" hidden="1" x14ac:dyDescent="0.35">
      <c r="A36" s="12">
        <v>39</v>
      </c>
      <c r="B36" s="12" t="str">
        <f t="shared" si="1"/>
        <v>IEC 62443-4-2 - 2.4.1 NDR RE</v>
      </c>
      <c r="C36" s="14">
        <f>FR2_UC!D55</f>
        <v>0</v>
      </c>
      <c r="D36" s="15">
        <f>FR2_UC!K54</f>
        <v>0</v>
      </c>
      <c r="E36" s="15">
        <f>FR2_UC!D54</f>
        <v>0</v>
      </c>
      <c r="F36" s="15" t="str">
        <f>FR2_UC!C54</f>
        <v>The host device shall provide the capability to enforce a security policy that allows the device to control execution of mobile code based on the results of an authenticity check prior to the code being executed</v>
      </c>
      <c r="H36" s="12" t="s">
        <v>104</v>
      </c>
      <c r="I36" s="12" t="str">
        <f>FR2_UC!A53</f>
        <v>NDR RE</v>
      </c>
      <c r="J36" s="14" t="str">
        <f>FR2_UC!B53</f>
        <v>2.4.1</v>
      </c>
      <c r="K36" s="12" t="s">
        <v>105</v>
      </c>
      <c r="N36" s="14">
        <f>FR2_UC!J55</f>
        <v>2</v>
      </c>
    </row>
    <row r="37" spans="1:14" ht="58" hidden="1" x14ac:dyDescent="0.35">
      <c r="A37" s="12">
        <v>40</v>
      </c>
      <c r="B37" s="12" t="str">
        <f t="shared" si="1"/>
        <v>IEC 62443-4-2 - 2.5 CR</v>
      </c>
      <c r="C37" s="14">
        <f>FR2_UC!D58</f>
        <v>0</v>
      </c>
      <c r="D37" s="15">
        <f>FR2_UC!K57</f>
        <v>0</v>
      </c>
      <c r="E37" s="15">
        <f>FR2_UC!D57</f>
        <v>0</v>
      </c>
      <c r="F37" s="15" t="str">
        <f>FR2_UC!C57</f>
        <v>If a component provides a human user interface, whether accessed locally or via a network, the component shall provide the capability
a) to protect against further access by initiating a session lock after a configurable time period of inactivity or by manual initiation by the user (human, software process or device); and 
b) for the session lock to remain in effect until the human user who owns the session, or another authorized human user, re-establishes access using appropriate identification and authentication procedures.</v>
      </c>
      <c r="G37" s="12"/>
      <c r="H37" s="12" t="s">
        <v>104</v>
      </c>
      <c r="I37" s="12" t="str">
        <f>FR2_UC!A56</f>
        <v>CR</v>
      </c>
      <c r="J37" s="14" t="str">
        <f>FR2_UC!B56</f>
        <v>2.5</v>
      </c>
      <c r="K37" s="12" t="s">
        <v>105</v>
      </c>
      <c r="N37" s="14">
        <f>FR2_UC!J58</f>
        <v>1</v>
      </c>
    </row>
    <row r="38" spans="1:14" ht="29" hidden="1" x14ac:dyDescent="0.35">
      <c r="A38" s="12">
        <v>41</v>
      </c>
      <c r="B38" s="12" t="str">
        <f t="shared" si="1"/>
        <v>IEC 62443-4-2 - 2.6 CR</v>
      </c>
      <c r="C38" s="14">
        <f>FR2_UC!D61</f>
        <v>0</v>
      </c>
      <c r="D38" s="15">
        <f>FR2_UC!K60</f>
        <v>0</v>
      </c>
      <c r="E38" s="15">
        <f>FR2_UC!D60</f>
        <v>0</v>
      </c>
      <c r="F38" s="15" t="str">
        <f>FR2_UC!C60</f>
        <v>If a component supports remote sessions, the component shall provide the capability to terminate a remote session either automatically after a configurable time period of inactivity, manually by a local authority, or manually by the user (human, software process or device) who initiated the session.</v>
      </c>
      <c r="G38" s="12"/>
      <c r="H38" s="12" t="s">
        <v>104</v>
      </c>
      <c r="I38" s="12" t="str">
        <f>FR2_UC!A59</f>
        <v>CR</v>
      </c>
      <c r="J38" s="14" t="str">
        <f>FR2_UC!B59</f>
        <v>2.6</v>
      </c>
      <c r="K38" s="12" t="s">
        <v>105</v>
      </c>
      <c r="N38" s="14">
        <f>FR2_UC!J61</f>
        <v>2</v>
      </c>
    </row>
    <row r="39" spans="1:14" hidden="1" x14ac:dyDescent="0.35">
      <c r="A39" s="12">
        <v>42</v>
      </c>
      <c r="B39" s="12" t="str">
        <f t="shared" si="1"/>
        <v>IEC 62443-4-2 - 2.7 CR</v>
      </c>
      <c r="C39" s="14">
        <f>FR2_UC!D64</f>
        <v>0</v>
      </c>
      <c r="D39" s="15">
        <f>FR2_UC!K63</f>
        <v>0</v>
      </c>
      <c r="E39" s="15">
        <f>FR2_UC!D63</f>
        <v>0</v>
      </c>
      <c r="F39" s="15" t="str">
        <f>FR2_UC!C63</f>
        <v xml:space="preserve">Components shall provide the capability to limit the number of concurrent sessions per interface for any given user (human, software process or device). </v>
      </c>
      <c r="G39" s="12"/>
      <c r="H39" s="12" t="s">
        <v>104</v>
      </c>
      <c r="I39" s="12" t="str">
        <f>FR2_UC!A62</f>
        <v>CR</v>
      </c>
      <c r="J39" s="14" t="str">
        <f>FR2_UC!B62</f>
        <v>2.7</v>
      </c>
      <c r="K39" s="12" t="s">
        <v>105</v>
      </c>
      <c r="N39" s="14">
        <f>FR2_UC!J64</f>
        <v>3</v>
      </c>
    </row>
    <row r="40" spans="1:14" ht="203" hidden="1" x14ac:dyDescent="0.35">
      <c r="A40" s="12">
        <v>43</v>
      </c>
      <c r="B40" s="12" t="str">
        <f t="shared" si="1"/>
        <v>IEC 62443-4-2 - 2.8 CR</v>
      </c>
      <c r="C40" s="14">
        <f>FR2_UC!D67</f>
        <v>0</v>
      </c>
      <c r="D40" s="15">
        <f>FR2_UC!K66</f>
        <v>0</v>
      </c>
      <c r="E40" s="15">
        <f>FR2_UC!D66</f>
        <v>0</v>
      </c>
      <c r="F40" s="15" t="str">
        <f>FR2_UC!C66</f>
        <v>Components shall provide the capability to generate audit records relevant to security for the following categories:
a) access control;
b) request errors;
c) control system events;
d) backup and restore event;
e) configuration changes; and
f) audit log events.
Individual audit records shall include:
a) timestamp;
b) source (originating device, software process or human user account);
c) category;
d) type;
e) event ID; and
f) event result.</v>
      </c>
      <c r="G40" s="12"/>
      <c r="H40" s="12" t="s">
        <v>104</v>
      </c>
      <c r="I40" s="12" t="str">
        <f>FR2_UC!A65</f>
        <v>CR</v>
      </c>
      <c r="J40" s="14" t="str">
        <f>FR2_UC!B65</f>
        <v>2.8</v>
      </c>
      <c r="K40" s="12" t="s">
        <v>105</v>
      </c>
      <c r="N40" s="14">
        <f>FR2_UC!J67</f>
        <v>1</v>
      </c>
    </row>
    <row r="41" spans="1:14" ht="43.5" hidden="1" x14ac:dyDescent="0.35">
      <c r="A41" s="12">
        <v>44</v>
      </c>
      <c r="B41" s="12" t="str">
        <f t="shared" si="1"/>
        <v>IEC 62443-4-2 - 2.9 CR</v>
      </c>
      <c r="C41" s="14">
        <f>FR2_UC!D70</f>
        <v>0</v>
      </c>
      <c r="D41" s="15">
        <f>FR2_UC!K69</f>
        <v>0</v>
      </c>
      <c r="E41" s="15">
        <f>FR2_UC!D69</f>
        <v>0</v>
      </c>
      <c r="F41" s="15" t="str">
        <f>FR2_UC!C69</f>
        <v>Components shall 
a) provide the capability to allocate audit record storage capacity according to commonly recognized recommendations for log management; and
b) provide mechanisms to protect against a failure of the component when it reaches or exceeds the audit storage capacity.</v>
      </c>
      <c r="G41" s="12"/>
      <c r="H41" s="12" t="s">
        <v>104</v>
      </c>
      <c r="I41" s="12" t="str">
        <f>FR2_UC!A68</f>
        <v>CR</v>
      </c>
      <c r="J41" s="14" t="str">
        <f>FR2_UC!B68</f>
        <v>2.9</v>
      </c>
      <c r="K41" s="12" t="s">
        <v>105</v>
      </c>
      <c r="N41" s="14">
        <f>FR2_UC!J70</f>
        <v>1</v>
      </c>
    </row>
    <row r="42" spans="1:14" hidden="1" x14ac:dyDescent="0.35">
      <c r="A42" s="12">
        <v>45</v>
      </c>
      <c r="B42" s="12" t="str">
        <f t="shared" si="1"/>
        <v>IEC 62443-4-2 - 2.9.1 CR RE</v>
      </c>
      <c r="C42" s="14">
        <f>FR2_UC!D73</f>
        <v>0</v>
      </c>
      <c r="D42" s="15">
        <f>FR2_UC!K72</f>
        <v>0</v>
      </c>
      <c r="E42" s="15">
        <f>FR2_UC!D72</f>
        <v>0</v>
      </c>
      <c r="F42" s="15" t="str">
        <f>FR2_UC!C72</f>
        <v>Components shall provide the capability to issue a warning when the allocated audit record storage reaches a configurable threshold.</v>
      </c>
      <c r="G42" s="12"/>
      <c r="H42" s="12" t="s">
        <v>104</v>
      </c>
      <c r="I42" s="12" t="str">
        <f>FR2_UC!A71</f>
        <v>CR RE</v>
      </c>
      <c r="J42" s="14" t="str">
        <f>FR2_UC!B71</f>
        <v>2.9.1</v>
      </c>
      <c r="K42" s="12" t="s">
        <v>105</v>
      </c>
      <c r="N42" s="14">
        <f>FR2_UC!J73</f>
        <v>3</v>
      </c>
    </row>
    <row r="43" spans="1:14" ht="43.5" hidden="1" x14ac:dyDescent="0.35">
      <c r="A43" s="12">
        <v>46</v>
      </c>
      <c r="B43" s="12" t="str">
        <f t="shared" si="1"/>
        <v>IEC 62443-4-2 - 2.10 CR</v>
      </c>
      <c r="C43" s="14">
        <f>FR2_UC!D76</f>
        <v>0</v>
      </c>
      <c r="D43" s="15">
        <f>FR2_UC!K75</f>
        <v>0</v>
      </c>
      <c r="E43" s="15">
        <f>FR2_UC!D75</f>
        <v>0</v>
      </c>
      <c r="F43" s="15" t="str">
        <f>FR2_UC!C75</f>
        <v>Components shall 
a) provide the capability to protect against the loss of essential services and functions in the event of an audit processing failure; and
b) provide the capability to support appropriate actions in response to an audit processing failure according to commonly accepted industry practices and recommendations.</v>
      </c>
      <c r="G43" s="12"/>
      <c r="H43" s="12" t="s">
        <v>104</v>
      </c>
      <c r="I43" s="12" t="str">
        <f>FR2_UC!A74</f>
        <v>CR</v>
      </c>
      <c r="J43" s="14" t="str">
        <f>FR2_UC!B74</f>
        <v>2.10</v>
      </c>
      <c r="K43" s="12" t="s">
        <v>105</v>
      </c>
      <c r="N43" s="14">
        <f>FR2_UC!J76</f>
        <v>1</v>
      </c>
    </row>
    <row r="44" spans="1:14" hidden="1" x14ac:dyDescent="0.35">
      <c r="A44" s="12">
        <v>47</v>
      </c>
      <c r="B44" s="12" t="str">
        <f t="shared" si="1"/>
        <v>IEC 62443-4-2 - 2.11 CR</v>
      </c>
      <c r="C44" s="14">
        <f>FR2_UC!D79</f>
        <v>0</v>
      </c>
      <c r="D44" s="15">
        <f>FR2_UC!K78</f>
        <v>0</v>
      </c>
      <c r="E44" s="15">
        <f>FR2_UC!D78</f>
        <v>0</v>
      </c>
      <c r="F44" s="15" t="str">
        <f>FR2_UC!C78</f>
        <v>Components shall provide the capability to create timestamps (including date and time) for use in audit records.</v>
      </c>
      <c r="H44" s="12" t="s">
        <v>104</v>
      </c>
      <c r="I44" s="12" t="str">
        <f>FR2_UC!A77</f>
        <v>CR</v>
      </c>
      <c r="J44" s="14" t="str">
        <f>FR2_UC!B77</f>
        <v>2.11</v>
      </c>
      <c r="K44" s="12" t="s">
        <v>105</v>
      </c>
      <c r="N44" s="14">
        <f>FR2_UC!J79</f>
        <v>1</v>
      </c>
    </row>
    <row r="45" spans="1:14" hidden="1" x14ac:dyDescent="0.35">
      <c r="A45" s="12">
        <v>48</v>
      </c>
      <c r="B45" s="12" t="str">
        <f t="shared" si="1"/>
        <v>IEC 62443-4-2 - 2.11.1 CR RE</v>
      </c>
      <c r="C45" s="14">
        <f>FR2_UC!D82</f>
        <v>0</v>
      </c>
      <c r="D45" s="15">
        <f>FR2_UC!K81</f>
        <v>0</v>
      </c>
      <c r="E45" s="15">
        <f>FR2_UC!D81</f>
        <v>0</v>
      </c>
      <c r="F45" s="15" t="str">
        <f>FR2_UC!C81</f>
        <v>Components shall provide the capability to create timestamps that are synchronized with a system wide time source.</v>
      </c>
      <c r="G45" s="12"/>
      <c r="H45" s="12" t="s">
        <v>104</v>
      </c>
      <c r="I45" s="12" t="str">
        <f>FR2_UC!A80</f>
        <v>CR RE</v>
      </c>
      <c r="J45" s="14" t="str">
        <f>FR2_UC!B80</f>
        <v>2.11.1</v>
      </c>
      <c r="K45" s="12" t="s">
        <v>105</v>
      </c>
      <c r="N45" s="14">
        <f>FR2_UC!J82</f>
        <v>2</v>
      </c>
    </row>
    <row r="46" spans="1:14" hidden="1" x14ac:dyDescent="0.35">
      <c r="A46" s="12">
        <v>49</v>
      </c>
      <c r="B46" s="12" t="str">
        <f t="shared" si="1"/>
        <v>IEC 62443-4-2 - 2.11.2 CR RE</v>
      </c>
      <c r="C46" s="14">
        <f>FR2_UC!D85</f>
        <v>0</v>
      </c>
      <c r="D46" s="15">
        <f>FR2_UC!K84</f>
        <v>0</v>
      </c>
      <c r="E46" s="15">
        <f>FR2_UC!D84</f>
        <v>0</v>
      </c>
      <c r="F46" s="15" t="str">
        <f>FR2_UC!C84</f>
        <v>The time synchronization mechanism shall provide the capability to detect unauthorized alteration and cause an audit event upon alteration.</v>
      </c>
      <c r="G46" s="12"/>
      <c r="H46" s="12" t="s">
        <v>104</v>
      </c>
      <c r="I46" s="12" t="str">
        <f>FR2_UC!A83</f>
        <v>CR RE</v>
      </c>
      <c r="J46" s="14" t="str">
        <f>FR2_UC!B83</f>
        <v>2.11.2</v>
      </c>
      <c r="K46" s="12" t="s">
        <v>105</v>
      </c>
      <c r="N46" s="14">
        <f>FR2_UC!J85</f>
        <v>4</v>
      </c>
    </row>
    <row r="47" spans="1:14" ht="29" hidden="1" x14ac:dyDescent="0.35">
      <c r="A47" s="12">
        <v>50</v>
      </c>
      <c r="B47" s="12" t="str">
        <f t="shared" si="1"/>
        <v>IEC 62443-4-2 - 2.12 CR</v>
      </c>
      <c r="C47" s="14">
        <f>FR2_UC!D88</f>
        <v>0</v>
      </c>
      <c r="D47" s="15">
        <f>FR2_UC!K87</f>
        <v>0</v>
      </c>
      <c r="E47" s="15">
        <f>FR2_UC!D87</f>
        <v>0</v>
      </c>
      <c r="F47" s="15" t="str">
        <f>FR2_UC!C87</f>
        <v>If a component provides a human user interface, the component shall provide the capability to determine whether a given human user took a particular action.
Control elements that are not able to support such capability shall be listed in component documents.</v>
      </c>
      <c r="H47" s="12" t="s">
        <v>104</v>
      </c>
      <c r="I47" s="12" t="str">
        <f>FR2_UC!A86</f>
        <v>CR</v>
      </c>
      <c r="J47" s="14" t="str">
        <f>FR2_UC!B86</f>
        <v>2.12</v>
      </c>
      <c r="K47" s="12" t="s">
        <v>105</v>
      </c>
      <c r="N47" s="14">
        <f>FR2_UC!J88</f>
        <v>1</v>
      </c>
    </row>
    <row r="48" spans="1:14" hidden="1" x14ac:dyDescent="0.35">
      <c r="A48" s="12">
        <v>51</v>
      </c>
      <c r="B48" s="12" t="str">
        <f t="shared" si="1"/>
        <v>IEC 62443-4-2 - 2.12.1 CR RE</v>
      </c>
      <c r="C48" s="14">
        <f>FR2_UC!D91</f>
        <v>0</v>
      </c>
      <c r="D48" s="15">
        <f>FR2_UC!K90</f>
        <v>0</v>
      </c>
      <c r="E48" s="15">
        <f>FR2_UC!D90</f>
        <v>0</v>
      </c>
      <c r="F48" s="15" t="str">
        <f>FR2_UC!C90</f>
        <v>Components shall provide the capability to determine whether a given user (human, software process or device) took a particular action.</v>
      </c>
      <c r="G48" s="12"/>
      <c r="H48" s="12" t="s">
        <v>104</v>
      </c>
      <c r="I48" s="12" t="str">
        <f>FR2_UC!A89</f>
        <v>CR RE</v>
      </c>
      <c r="J48" s="14" t="str">
        <f>FR2_UC!B89</f>
        <v>2.12.1</v>
      </c>
      <c r="K48" s="12" t="s">
        <v>105</v>
      </c>
      <c r="N48" s="14">
        <f>FR2_UC!J91</f>
        <v>4</v>
      </c>
    </row>
    <row r="49" spans="1:14" hidden="1" x14ac:dyDescent="0.35">
      <c r="A49" s="12">
        <v>53</v>
      </c>
      <c r="B49" s="12" t="str">
        <f t="shared" si="1"/>
        <v>IEC 62443-4-2 - 2.13.1 EDR RE</v>
      </c>
      <c r="C49" s="14">
        <f>FR2_UC!D97</f>
        <v>0</v>
      </c>
      <c r="D49" s="15">
        <f>FR2_UC!K96</f>
        <v>0</v>
      </c>
      <c r="E49" s="15">
        <f>FR2_UC!D96</f>
        <v>0</v>
      </c>
      <c r="F49" s="15" t="str">
        <f>FR2_UC!C96</f>
        <v>Embedded devices shall provide active monitoring of the device’s diagnostic and test interface(s) and generate a log entry when attempts to access these interface(s) are detected.</v>
      </c>
      <c r="G49" s="12"/>
      <c r="H49" s="12" t="s">
        <v>104</v>
      </c>
      <c r="I49" s="12" t="str">
        <f>FR2_UC!A95</f>
        <v>EDR RE</v>
      </c>
      <c r="J49" s="14" t="str">
        <f>FR2_UC!B95</f>
        <v>2.13.1</v>
      </c>
      <c r="K49" s="12" t="s">
        <v>105</v>
      </c>
      <c r="N49" s="14">
        <f>FR2_UC!J97</f>
        <v>3</v>
      </c>
    </row>
    <row r="50" spans="1:14" ht="29" hidden="1" x14ac:dyDescent="0.35">
      <c r="A50" s="12">
        <v>54</v>
      </c>
      <c r="B50" s="12" t="str">
        <f t="shared" si="1"/>
        <v>IEC 62443-4-2 - 2.13 HDR</v>
      </c>
      <c r="C50" s="14">
        <f>FR2_UC!D100</f>
        <v>0</v>
      </c>
      <c r="D50" s="15">
        <f>FR2_UC!K99</f>
        <v>0</v>
      </c>
      <c r="E50" s="15" t="str">
        <f>FR2_UC!D99</f>
        <v>MCSR 1.0 is more strict as to not allow debugging interfaces at all, also software debugging symbols are included in MCSR 1.0</v>
      </c>
      <c r="F50" s="15" t="str">
        <f>FR2_UC!C99</f>
        <v>Host devices shall prevent unauthorized use of the physical factory diagnostic and test interface(s) (e.g. JTAG debugging).</v>
      </c>
      <c r="G50" s="12"/>
      <c r="H50" s="12" t="s">
        <v>104</v>
      </c>
      <c r="I50" s="12" t="str">
        <f>FR2_UC!A98</f>
        <v>HDR</v>
      </c>
      <c r="J50" s="14" t="str">
        <f>FR2_UC!B98</f>
        <v>2.13</v>
      </c>
      <c r="K50" s="12" t="s">
        <v>105</v>
      </c>
      <c r="N50" s="14">
        <f>FR2_UC!J100</f>
        <v>2</v>
      </c>
    </row>
    <row r="51" spans="1:14" hidden="1" x14ac:dyDescent="0.35">
      <c r="A51" s="12">
        <v>55</v>
      </c>
      <c r="B51" s="12" t="str">
        <f t="shared" si="1"/>
        <v>IEC 62443-4-2 - 2.13.1 HDR RE</v>
      </c>
      <c r="C51" s="14">
        <f>FR2_UC!D103</f>
        <v>0</v>
      </c>
      <c r="D51" s="15">
        <f>FR2_UC!K102</f>
        <v>0</v>
      </c>
      <c r="E51" s="15">
        <f>FR2_UC!D102</f>
        <v>0</v>
      </c>
      <c r="F51" s="15" t="str">
        <f>FR2_UC!C102</f>
        <v>Host devices shall provide active monitoring of the device’s diagnostic and test interface(s) and generate a log entry when attempts to access these interface(s) are detected.</v>
      </c>
      <c r="G51" s="12"/>
      <c r="H51" s="12" t="s">
        <v>104</v>
      </c>
      <c r="I51" s="12" t="str">
        <f>FR2_UC!A101</f>
        <v>HDR RE</v>
      </c>
      <c r="J51" s="14" t="str">
        <f>FR2_UC!B101</f>
        <v>2.13.1</v>
      </c>
      <c r="K51" s="12" t="s">
        <v>105</v>
      </c>
      <c r="N51" s="14">
        <f>FR2_UC!J103</f>
        <v>3</v>
      </c>
    </row>
    <row r="52" spans="1:14" ht="29" hidden="1" x14ac:dyDescent="0.35">
      <c r="A52" s="12">
        <v>56</v>
      </c>
      <c r="B52" s="12" t="str">
        <f t="shared" si="1"/>
        <v>IEC 62443-4-2 - 2.13 NDR</v>
      </c>
      <c r="C52" s="14">
        <f>FR2_UC!D106</f>
        <v>0</v>
      </c>
      <c r="D52" s="15">
        <f>FR2_UC!K105</f>
        <v>0</v>
      </c>
      <c r="E52" s="15" t="str">
        <f>FR2_UC!D105</f>
        <v>MCSR 1.0 is more strict as to not allow debugging interfaces at all, also software debugging symbols are included in MCSR 1.0</v>
      </c>
      <c r="F52" s="15" t="str">
        <f>FR2_UC!C105</f>
        <v>Network devices shall prevent unauthorized use of the physical factory diagnostic and test interface(s) (e.g. JTAG debugging).</v>
      </c>
      <c r="G52" s="12"/>
      <c r="H52" s="12" t="s">
        <v>104</v>
      </c>
      <c r="I52" s="12" t="str">
        <f>FR2_UC!A104</f>
        <v>NDR</v>
      </c>
      <c r="J52" s="14" t="str">
        <f>FR2_UC!B104</f>
        <v>2.13</v>
      </c>
      <c r="K52" s="12" t="s">
        <v>105</v>
      </c>
      <c r="N52" s="14">
        <f>FR2_UC!J106</f>
        <v>2</v>
      </c>
    </row>
    <row r="53" spans="1:14" hidden="1" x14ac:dyDescent="0.35">
      <c r="A53" s="12">
        <v>57</v>
      </c>
      <c r="B53" s="12" t="str">
        <f t="shared" si="1"/>
        <v>IEC 62443-4-2 - 2.13.1 NDR RE</v>
      </c>
      <c r="C53" s="14">
        <f>FR2_UC!D109</f>
        <v>0</v>
      </c>
      <c r="D53" s="15">
        <f>FR2_UC!K108</f>
        <v>0</v>
      </c>
      <c r="E53" s="15">
        <f>FR2_UC!D108</f>
        <v>0</v>
      </c>
      <c r="F53" s="15" t="str">
        <f>FR2_UC!C108</f>
        <v>Network devices shall provide active monitoring of the device’s diagnostic and test interface(s) and generate a log entry when attempts to access these interface(s) are detected.</v>
      </c>
      <c r="G53" s="12"/>
      <c r="H53" s="12" t="s">
        <v>104</v>
      </c>
      <c r="I53" s="12" t="str">
        <f>FR2_UC!A107</f>
        <v>NDR RE</v>
      </c>
      <c r="J53" s="14" t="str">
        <f>FR2_UC!B107</f>
        <v>2.13.1</v>
      </c>
      <c r="K53" s="12" t="s">
        <v>105</v>
      </c>
      <c r="N53" s="14">
        <f>FR2_UC!J109</f>
        <v>3</v>
      </c>
    </row>
    <row r="54" spans="1:14" ht="29" hidden="1" x14ac:dyDescent="0.35">
      <c r="A54" s="12">
        <v>59</v>
      </c>
      <c r="B54" s="12" t="str">
        <f t="shared" si="1"/>
        <v>IEC 62443-4-2 - 3.1.1 CR RE</v>
      </c>
      <c r="C54" s="14">
        <f>FR3_SI!D14</f>
        <v>0</v>
      </c>
      <c r="D54" s="15" t="str">
        <f>FR3_SI!K13</f>
        <v>MP-15.1</v>
      </c>
      <c r="E54" s="15" t="str">
        <f>FR3_SI!D13</f>
        <v>MP-15 talks about "secure protocols" which we usually interpret as at least providing integrity and authenticity.</v>
      </c>
      <c r="F54" s="15" t="str">
        <f>FR3_SI!C13</f>
        <v>Components shall provide the capability to verify authenticity of received information during communication.
NOTE:  Both integrity protection and authentication of origin can be achieved without providing confidentiality protection.</v>
      </c>
      <c r="G54" s="12"/>
      <c r="H54" s="12" t="s">
        <v>104</v>
      </c>
      <c r="I54" s="12" t="str">
        <f>FR3_SI!A12</f>
        <v>CR RE</v>
      </c>
      <c r="J54" s="14" t="str">
        <f>FR3_SI!B12</f>
        <v>3.1.1</v>
      </c>
      <c r="K54" s="12" t="s">
        <v>105</v>
      </c>
      <c r="N54" s="14">
        <f>FR3_SI!J14</f>
        <v>2</v>
      </c>
    </row>
    <row r="55" spans="1:14" ht="29" hidden="1" x14ac:dyDescent="0.35">
      <c r="A55" s="12">
        <v>60</v>
      </c>
      <c r="B55" s="12" t="str">
        <f t="shared" si="1"/>
        <v>IEC 62443-4-2 - 3.2 SAR</v>
      </c>
      <c r="C55" s="14">
        <f>FR3_SI!D17</f>
        <v>0</v>
      </c>
      <c r="D55" s="15">
        <f>FR3_SI!K16</f>
        <v>0</v>
      </c>
      <c r="E55" s="15">
        <f>FR3_SI!D16</f>
        <v>0</v>
      </c>
      <c r="F55" s="15" t="str">
        <f>FR3_SI!C16</f>
        <v>The application product supplier shall qualify and document which protection from malicious code mechanisms are compatible with the application and note any special configuration requirements.</v>
      </c>
      <c r="G55" s="12"/>
      <c r="H55" s="12" t="s">
        <v>104</v>
      </c>
      <c r="I55" s="12" t="str">
        <f>FR3_SI!A15</f>
        <v>SAR</v>
      </c>
      <c r="J55" s="14" t="str">
        <f>FR3_SI!B15</f>
        <v>3.2</v>
      </c>
      <c r="K55" s="12" t="s">
        <v>105</v>
      </c>
      <c r="N55" s="14">
        <f>FR3_SI!J17</f>
        <v>1</v>
      </c>
    </row>
    <row r="56" spans="1:14" ht="29" hidden="1" x14ac:dyDescent="0.35">
      <c r="A56" s="12">
        <v>62</v>
      </c>
      <c r="B56" s="12" t="str">
        <f t="shared" si="1"/>
        <v>IEC 62443-4-2 - 3.2 HDR</v>
      </c>
      <c r="C56" s="14">
        <f>FR3_SI!D23</f>
        <v>0</v>
      </c>
      <c r="D56" s="15">
        <f>FR3_SI!K22</f>
        <v>0</v>
      </c>
      <c r="E56" s="15">
        <f>FR3_SI!D22</f>
        <v>0</v>
      </c>
      <c r="F56" s="15" t="str">
        <f>FR3_SI!C22</f>
        <v>There shall be mechanisms on host devices that are qualified by the IACS product supplier to provide protection from malicious code. The IACS product supplier shall document any special configuration requirements related to protection from malicious code.</v>
      </c>
      <c r="G56" s="12"/>
      <c r="H56" s="12" t="s">
        <v>104</v>
      </c>
      <c r="I56" s="12" t="str">
        <f>FR3_SI!A21</f>
        <v>HDR</v>
      </c>
      <c r="J56" s="14" t="str">
        <f>FR3_SI!B21</f>
        <v>3.2</v>
      </c>
      <c r="K56" s="12" t="s">
        <v>105</v>
      </c>
      <c r="N56" s="14">
        <f>FR3_SI!J23</f>
        <v>1</v>
      </c>
    </row>
    <row r="57" spans="1:14" hidden="1" x14ac:dyDescent="0.35">
      <c r="A57" s="12">
        <v>63</v>
      </c>
      <c r="B57" s="12" t="str">
        <f t="shared" si="1"/>
        <v>IEC 62443-4-2 - 3.2.1 HDR RE</v>
      </c>
      <c r="C57" s="14">
        <f>FR3_SI!D26</f>
        <v>0</v>
      </c>
      <c r="D57" s="15">
        <f>FR3_SI!K25</f>
        <v>0</v>
      </c>
      <c r="E57" s="15">
        <f>FR3_SI!D25</f>
        <v>0</v>
      </c>
      <c r="F57" s="15" t="str">
        <f>FR3_SI!C25</f>
        <v>The host device shall automatically report the software and file versions of protection from malicious code in use (as part of overall logging function).</v>
      </c>
      <c r="H57" s="12" t="s">
        <v>104</v>
      </c>
      <c r="I57" s="12" t="str">
        <f>FR3_SI!A24</f>
        <v>HDR RE</v>
      </c>
      <c r="J57" s="14" t="str">
        <f>FR3_SI!B24</f>
        <v>3.2.1</v>
      </c>
      <c r="K57" s="12" t="s">
        <v>105</v>
      </c>
      <c r="N57" s="14">
        <f>FR3_SI!J26</f>
        <v>2</v>
      </c>
    </row>
    <row r="58" spans="1:14" hidden="1" x14ac:dyDescent="0.35">
      <c r="A58" s="12">
        <v>64</v>
      </c>
      <c r="B58" s="12" t="str">
        <f t="shared" si="1"/>
        <v>IEC 62443-4-2 - 3.2 NDR</v>
      </c>
      <c r="C58" s="14">
        <f>FR3_SI!D29</f>
        <v>0</v>
      </c>
      <c r="D58" s="15">
        <f>FR3_SI!K28</f>
        <v>0</v>
      </c>
      <c r="E58" s="15">
        <f>FR3_SI!D28</f>
        <v>0</v>
      </c>
      <c r="F58" s="15" t="str">
        <f>FR3_SI!C28</f>
        <v>The network device shall provide for protection from malicious code</v>
      </c>
      <c r="G58" s="12"/>
      <c r="H58" s="12" t="s">
        <v>104</v>
      </c>
      <c r="I58" s="12" t="str">
        <f>FR3_SI!A27</f>
        <v>NDR</v>
      </c>
      <c r="J58" s="14" t="str">
        <f>FR3_SI!B27</f>
        <v>3.2</v>
      </c>
      <c r="K58" s="12" t="s">
        <v>105</v>
      </c>
      <c r="N58" s="14">
        <f>FR3_SI!J29</f>
        <v>1</v>
      </c>
    </row>
    <row r="59" spans="1:14" hidden="1" x14ac:dyDescent="0.35">
      <c r="A59" s="12">
        <v>65</v>
      </c>
      <c r="B59" s="12" t="str">
        <f t="shared" si="1"/>
        <v>IEC 62443-4-2 - 3.3 CR</v>
      </c>
      <c r="C59" s="14">
        <f>FR3_SI!D32</f>
        <v>0</v>
      </c>
      <c r="D59" s="15">
        <f>FR3_SI!K31</f>
        <v>0</v>
      </c>
      <c r="E59" s="15" t="str">
        <f>FR3_SI!D31</f>
        <v>MP-07 is about documentation, not about components performing something</v>
      </c>
      <c r="F59" s="15" t="str">
        <f>FR3_SI!C31</f>
        <v>Components shall provide the capability to support verification of the intended operation of security functions according to ISA‑62443‑3‑3 [11] SR3.3</v>
      </c>
      <c r="G59" s="12"/>
      <c r="H59" s="12" t="s">
        <v>104</v>
      </c>
      <c r="I59" s="12" t="str">
        <f>FR3_SI!A30</f>
        <v>CR</v>
      </c>
      <c r="J59" s="14" t="str">
        <f>FR3_SI!B30</f>
        <v>3.3</v>
      </c>
      <c r="K59" s="12" t="s">
        <v>105</v>
      </c>
      <c r="N59" s="14">
        <f>FR3_SI!J32</f>
        <v>1</v>
      </c>
    </row>
    <row r="60" spans="1:14" ht="29" hidden="1" x14ac:dyDescent="0.35">
      <c r="A60" s="12">
        <v>66</v>
      </c>
      <c r="B60" s="12" t="str">
        <f t="shared" si="1"/>
        <v>IEC 62443-4-2 - 3.3.1 CR RE</v>
      </c>
      <c r="C60" s="14">
        <f>FR3_SI!D35</f>
        <v>0</v>
      </c>
      <c r="D60" s="15">
        <f>FR3_SI!K34</f>
        <v>0</v>
      </c>
      <c r="E60" s="15">
        <f>FR3_SI!D34</f>
        <v>0</v>
      </c>
      <c r="F60" s="15" t="str">
        <f>FR3_SI!C34</f>
        <v>Components shall provide the capability to support verification of the intended operation of security functions during normal operations. 
NOTE   This RE needs to be carefully implemented to avoid detrimental effects. It may not be suitable for safety systems.</v>
      </c>
      <c r="H60" s="12" t="s">
        <v>104</v>
      </c>
      <c r="I60" s="12" t="str">
        <f>FR3_SI!A33</f>
        <v>CR RE</v>
      </c>
      <c r="J60" s="14" t="str">
        <f>FR3_SI!B33</f>
        <v>3.3.1</v>
      </c>
      <c r="K60" s="12" t="s">
        <v>105</v>
      </c>
      <c r="N60" s="14">
        <f>FR3_SI!J35</f>
        <v>4</v>
      </c>
    </row>
    <row r="61" spans="1:14" ht="29" hidden="1" x14ac:dyDescent="0.35">
      <c r="A61" s="12">
        <v>69</v>
      </c>
      <c r="B61" s="12" t="str">
        <f t="shared" si="1"/>
        <v>IEC 62443-4-2 - 3.4.2 CR RE</v>
      </c>
      <c r="C61" s="14">
        <f>FR3_SI!D54</f>
        <v>0</v>
      </c>
      <c r="D61" s="15">
        <f>FR3_SI!K53</f>
        <v>0</v>
      </c>
      <c r="E61" s="15">
        <f>FR3_SI!D53</f>
        <v>0</v>
      </c>
      <c r="F61" s="15" t="str">
        <f>FR3_SI!C53</f>
        <v>If the component is performing the integrity check, it shall be capable of automatically providing notification to a configurable entity upon discovery of an attempt to make an unauthorized change.</v>
      </c>
      <c r="G61" s="12"/>
      <c r="H61" s="12" t="s">
        <v>104</v>
      </c>
      <c r="I61" s="12" t="str">
        <f>FR3_SI!A52</f>
        <v>CR RE</v>
      </c>
      <c r="J61" s="14" t="str">
        <f>FR3_SI!B52</f>
        <v>3.4.2</v>
      </c>
      <c r="K61" s="12" t="s">
        <v>105</v>
      </c>
      <c r="N61" s="14">
        <f>FR3_SI!J54</f>
        <v>3</v>
      </c>
    </row>
    <row r="62" spans="1:14" ht="29" hidden="1" x14ac:dyDescent="0.35">
      <c r="A62" s="12">
        <v>71</v>
      </c>
      <c r="B62" s="12" t="str">
        <f t="shared" si="1"/>
        <v>IEC 62443-4-2 - 3.6 CR</v>
      </c>
      <c r="C62" s="14">
        <f>FR3_SI!D60</f>
        <v>0</v>
      </c>
      <c r="D62" s="15">
        <f>FR3_SI!K59</f>
        <v>0</v>
      </c>
      <c r="E62" s="15">
        <f>FR3_SI!D59</f>
        <v>0</v>
      </c>
      <c r="F62" s="15" t="str">
        <f>FR3_SI!C59</f>
        <v>Components that physically or logically connect to an automation process shall provide the capability to set outputs to a predetermined state if normal operation as defined by the component supplier cannot be maintained.</v>
      </c>
      <c r="H62" s="12" t="s">
        <v>104</v>
      </c>
      <c r="I62" s="12" t="str">
        <f>FR3_SI!A58</f>
        <v>CR</v>
      </c>
      <c r="J62" s="14" t="str">
        <f>FR3_SI!B58</f>
        <v>3.6</v>
      </c>
      <c r="K62" s="12" t="s">
        <v>105</v>
      </c>
      <c r="N62" s="14">
        <f>FR3_SI!J60</f>
        <v>1</v>
      </c>
    </row>
    <row r="63" spans="1:14" hidden="1" x14ac:dyDescent="0.35">
      <c r="A63" s="12">
        <v>74</v>
      </c>
      <c r="B63" s="12" t="str">
        <f t="shared" si="1"/>
        <v>IEC 62443-4-2 - 3.9 CR</v>
      </c>
      <c r="C63" s="14">
        <f>FR3_SI!D71</f>
        <v>0</v>
      </c>
      <c r="D63" s="15">
        <f>FR3_SI!K70</f>
        <v>0</v>
      </c>
      <c r="E63" s="15">
        <f>FR3_SI!D70</f>
        <v>0</v>
      </c>
      <c r="F63" s="15" t="str">
        <f>FR3_SI!C70</f>
        <v>Components shall protect audit information, audit logs, and audit tools (if present) from unauthorized access, modification and deletion.</v>
      </c>
      <c r="G63" s="12"/>
      <c r="H63" s="12" t="s">
        <v>104</v>
      </c>
      <c r="I63" s="12" t="str">
        <f>FR3_SI!A69</f>
        <v>CR</v>
      </c>
      <c r="J63" s="14" t="str">
        <f>FR3_SI!B69</f>
        <v>3.9</v>
      </c>
      <c r="K63" s="12" t="s">
        <v>105</v>
      </c>
      <c r="N63" s="14">
        <f>FR3_SI!J71</f>
        <v>2</v>
      </c>
    </row>
    <row r="64" spans="1:14" hidden="1" x14ac:dyDescent="0.35">
      <c r="A64" s="12">
        <v>75</v>
      </c>
      <c r="B64" s="12" t="str">
        <f t="shared" si="1"/>
        <v>IEC 62443-4-2 - 3.9.1 CR RE</v>
      </c>
      <c r="C64" s="14">
        <f>FR3_SI!D74</f>
        <v>0</v>
      </c>
      <c r="D64" s="15">
        <f>FR3_SI!K73</f>
        <v>0</v>
      </c>
      <c r="E64" s="15">
        <f>FR3_SI!D73</f>
        <v>0</v>
      </c>
      <c r="F64" s="15" t="str">
        <f>FR3_SI!C73</f>
        <v>Components shall provide the capability to store audit records on hardware-enforced write-once media.</v>
      </c>
      <c r="G64" s="12"/>
      <c r="H64" s="12" t="s">
        <v>104</v>
      </c>
      <c r="I64" s="12" t="str">
        <f>FR3_SI!A72</f>
        <v>CR RE</v>
      </c>
      <c r="J64" s="14" t="str">
        <f>FR3_SI!B72</f>
        <v>3.9.1</v>
      </c>
      <c r="K64" s="12" t="s">
        <v>105</v>
      </c>
      <c r="N64" s="14">
        <f>FR3_SI!J74</f>
        <v>4</v>
      </c>
    </row>
    <row r="65" spans="1:14" hidden="1" x14ac:dyDescent="0.35">
      <c r="A65" s="12">
        <v>78</v>
      </c>
      <c r="B65" s="12" t="str">
        <f t="shared" si="1"/>
        <v>IEC 62443-4-2 - 3.10 HDR</v>
      </c>
      <c r="C65" s="14">
        <f>FR3_SI!D83</f>
        <v>0</v>
      </c>
      <c r="D65" s="15">
        <f>FR3_SI!K82</f>
        <v>0</v>
      </c>
      <c r="E65" s="15">
        <f>FR3_SI!D82</f>
        <v>0</v>
      </c>
      <c r="F65" s="15" t="str">
        <f>FR3_SI!C82</f>
        <v>Host devices shall support the ability to be updated and upgraded.</v>
      </c>
      <c r="G65" s="12"/>
      <c r="H65" s="12" t="s">
        <v>104</v>
      </c>
      <c r="I65" s="12" t="str">
        <f>FR3_SI!A81</f>
        <v>HDR</v>
      </c>
      <c r="J65" s="14" t="str">
        <f>FR3_SI!B81</f>
        <v>3.10</v>
      </c>
      <c r="K65" s="12" t="s">
        <v>105</v>
      </c>
      <c r="N65" s="14">
        <f>FR3_SI!J83</f>
        <v>1</v>
      </c>
    </row>
    <row r="66" spans="1:14" hidden="1" x14ac:dyDescent="0.35">
      <c r="A66" s="12">
        <v>79</v>
      </c>
      <c r="B66" s="12" t="str">
        <f t="shared" ref="B66:B97" si="2">CONCATENATE(H66," - ",J66," ",I66)</f>
        <v>IEC 62443-4-2 - 3.10.1 HDR RE</v>
      </c>
      <c r="C66" s="14">
        <f>FR3_SI!D86</f>
        <v>0</v>
      </c>
      <c r="D66" s="15">
        <f>FR3_SI!K85</f>
        <v>0</v>
      </c>
      <c r="E66" s="15">
        <f>FR3_SI!D85</f>
        <v>0</v>
      </c>
      <c r="F66" s="15" t="str">
        <f>FR3_SI!C85</f>
        <v>Host devices shall validate the authenticity and integrity of any software update or upgrade prior to installation.</v>
      </c>
      <c r="G66" s="12"/>
      <c r="H66" s="12" t="s">
        <v>104</v>
      </c>
      <c r="I66" s="12" t="str">
        <f>FR3_SI!A84</f>
        <v>HDR RE</v>
      </c>
      <c r="J66" s="14" t="str">
        <f>FR3_SI!B84</f>
        <v>3.10.1</v>
      </c>
      <c r="K66" s="12" t="s">
        <v>105</v>
      </c>
      <c r="N66" s="14">
        <f>FR3_SI!J86</f>
        <v>3</v>
      </c>
    </row>
    <row r="67" spans="1:14" hidden="1" x14ac:dyDescent="0.35">
      <c r="A67" s="12">
        <v>80</v>
      </c>
      <c r="B67" s="12" t="str">
        <f t="shared" si="2"/>
        <v>IEC 62443-4-2 - 3.10 NDR</v>
      </c>
      <c r="C67" s="14">
        <f>FR3_SI!D89</f>
        <v>0</v>
      </c>
      <c r="D67" s="15">
        <f>FR3_SI!K88</f>
        <v>0</v>
      </c>
      <c r="E67" s="15">
        <f>FR3_SI!D88</f>
        <v>0</v>
      </c>
      <c r="F67" s="15" t="str">
        <f>FR3_SI!C88</f>
        <v>Network devices shall support the ability to be updated and upgraded.</v>
      </c>
      <c r="G67" s="12"/>
      <c r="H67" s="12" t="s">
        <v>104</v>
      </c>
      <c r="I67" s="12" t="str">
        <f>FR3_SI!A87</f>
        <v>NDR</v>
      </c>
      <c r="J67" s="14" t="str">
        <f>FR3_SI!B87</f>
        <v>3.10</v>
      </c>
      <c r="K67" s="12" t="s">
        <v>105</v>
      </c>
      <c r="N67" s="14">
        <f>FR3_SI!J89</f>
        <v>1</v>
      </c>
    </row>
    <row r="68" spans="1:14" hidden="1" x14ac:dyDescent="0.35">
      <c r="A68" s="12">
        <v>81</v>
      </c>
      <c r="B68" s="12" t="str">
        <f t="shared" si="2"/>
        <v>IEC 62443-4-2 - 3.10.1 NDR RE</v>
      </c>
      <c r="C68" s="14">
        <f>FR3_SI!D92</f>
        <v>0</v>
      </c>
      <c r="D68" s="15">
        <f>FR3_SI!K91</f>
        <v>0</v>
      </c>
      <c r="E68" s="15">
        <f>FR3_SI!D91</f>
        <v>0</v>
      </c>
      <c r="F68" s="15" t="str">
        <f>FR3_SI!C91</f>
        <v>Network devices shall validate the authenticity and integrity of any software update or upgrade prior to installation.</v>
      </c>
      <c r="G68" s="12"/>
      <c r="H68" s="12" t="s">
        <v>104</v>
      </c>
      <c r="I68" s="12" t="str">
        <f>FR3_SI!A90</f>
        <v>NDR RE</v>
      </c>
      <c r="J68" s="14" t="str">
        <f>FR3_SI!B90</f>
        <v>3.10.1</v>
      </c>
      <c r="K68" s="12" t="s">
        <v>105</v>
      </c>
      <c r="N68" s="14">
        <f>FR3_SI!J92</f>
        <v>2</v>
      </c>
    </row>
    <row r="69" spans="1:14" hidden="1" x14ac:dyDescent="0.35">
      <c r="A69" s="12">
        <v>82</v>
      </c>
      <c r="B69" s="12" t="str">
        <f t="shared" si="2"/>
        <v>IEC 62443-4-2 - 3.11 EDR</v>
      </c>
      <c r="C69" s="14">
        <f>FR3_SI!D95</f>
        <v>0</v>
      </c>
      <c r="D69" s="15">
        <f>FR3_SI!K94</f>
        <v>0</v>
      </c>
      <c r="E69" s="15">
        <f>FR3_SI!D94</f>
        <v>0</v>
      </c>
      <c r="F69" s="15" t="str">
        <f>FR3_SI!C94</f>
        <v>The embedded device shall provide tamper resistance and detection mechanisms to protect against unauthorized physical access into the device</v>
      </c>
      <c r="G69" s="12"/>
      <c r="H69" s="12" t="s">
        <v>104</v>
      </c>
      <c r="I69" s="12" t="str">
        <f>FR3_SI!A93</f>
        <v>EDR</v>
      </c>
      <c r="J69" s="14" t="str">
        <f>FR3_SI!B93</f>
        <v>3.11</v>
      </c>
      <c r="K69" s="12" t="s">
        <v>105</v>
      </c>
      <c r="N69" s="14">
        <f>FR3_SI!J95</f>
        <v>2</v>
      </c>
    </row>
    <row r="70" spans="1:14" ht="29" hidden="1" x14ac:dyDescent="0.35">
      <c r="A70" s="12">
        <v>83</v>
      </c>
      <c r="B70" s="12" t="str">
        <f t="shared" si="2"/>
        <v>IEC 62443-4-2 - 3.11.1 EDR RE</v>
      </c>
      <c r="C70" s="14">
        <f>FR3_SI!D98</f>
        <v>0</v>
      </c>
      <c r="D70" s="15">
        <f>FR3_SI!K97</f>
        <v>0</v>
      </c>
      <c r="E70" s="15">
        <f>FR3_SI!D97</f>
        <v>0</v>
      </c>
      <c r="F70" s="15" t="str">
        <f>FR3_SI!C97</f>
        <v>The embedded device shall be capable of automatically providing notification to a configurable set of recipients upon discovery of an attempt to make an unauthorized physical access. All notifications of tampering shall be logged as part of the overall audit logging function.</v>
      </c>
      <c r="G70" s="12"/>
      <c r="H70" s="12" t="s">
        <v>104</v>
      </c>
      <c r="I70" s="12" t="str">
        <f>FR3_SI!A96</f>
        <v>EDR RE</v>
      </c>
      <c r="J70" s="14" t="str">
        <f>FR3_SI!B96</f>
        <v>3.11.1</v>
      </c>
      <c r="K70" s="12" t="s">
        <v>105</v>
      </c>
      <c r="N70" s="14">
        <f>FR3_SI!J98</f>
        <v>3</v>
      </c>
    </row>
    <row r="71" spans="1:14" hidden="1" x14ac:dyDescent="0.35">
      <c r="A71" s="12">
        <v>84</v>
      </c>
      <c r="B71" s="12" t="str">
        <f t="shared" si="2"/>
        <v>IEC 62443-4-2 - 3.11 HDR</v>
      </c>
      <c r="C71" s="14">
        <f>FR3_SI!D101</f>
        <v>0</v>
      </c>
      <c r="D71" s="15">
        <f>FR3_SI!K100</f>
        <v>0</v>
      </c>
      <c r="E71" s="15">
        <f>FR3_SI!D100</f>
        <v>0</v>
      </c>
      <c r="F71" s="15" t="str">
        <f>FR3_SI!C100</f>
        <v>Host devices shall provide the capability to support tamper resistance and detection mechanisms to protect against unauthorized physical access into the device.</v>
      </c>
      <c r="G71" s="12"/>
      <c r="H71" s="12" t="s">
        <v>104</v>
      </c>
      <c r="I71" s="12" t="str">
        <f>FR3_SI!A99</f>
        <v>HDR</v>
      </c>
      <c r="J71" s="14" t="str">
        <f>FR3_SI!B99</f>
        <v>3.11</v>
      </c>
      <c r="K71" s="12" t="s">
        <v>105</v>
      </c>
      <c r="N71" s="14">
        <f>FR3_SI!J101</f>
        <v>2</v>
      </c>
    </row>
    <row r="72" spans="1:14" ht="29" hidden="1" x14ac:dyDescent="0.35">
      <c r="A72" s="12">
        <v>85</v>
      </c>
      <c r="B72" s="12" t="str">
        <f t="shared" si="2"/>
        <v>IEC 62443-4-2 - 3.11.1 HDR RE</v>
      </c>
      <c r="C72" s="14">
        <f>FR3_SI!D104</f>
        <v>0</v>
      </c>
      <c r="D72" s="15">
        <f>FR3_SI!K103</f>
        <v>0</v>
      </c>
      <c r="E72" s="15">
        <f>FR3_SI!D103</f>
        <v>0</v>
      </c>
      <c r="F72" s="15" t="str">
        <f>FR3_SI!C103</f>
        <v>Host devices shall be capable of automatically providing notification to a configurable set of recipients upon discovery of an attempt to make an unauthorized physical access. All notifications of tampering shall be logged as part of the overall audit logging function.</v>
      </c>
      <c r="G72" s="12"/>
      <c r="H72" s="12" t="s">
        <v>104</v>
      </c>
      <c r="I72" s="12" t="str">
        <f>FR3_SI!A102</f>
        <v>HDR RE</v>
      </c>
      <c r="J72" s="14" t="str">
        <f>FR3_SI!B102</f>
        <v>3.11.1</v>
      </c>
      <c r="K72" s="12" t="s">
        <v>105</v>
      </c>
      <c r="N72" s="14">
        <f>FR3_SI!J104</f>
        <v>3</v>
      </c>
    </row>
    <row r="73" spans="1:14" hidden="1" x14ac:dyDescent="0.35">
      <c r="A73" s="12">
        <v>86</v>
      </c>
      <c r="B73" s="12" t="str">
        <f t="shared" si="2"/>
        <v>IEC 62443-4-2 - 3.11 NDR</v>
      </c>
      <c r="C73" s="14">
        <f>FR3_SI!D107</f>
        <v>0</v>
      </c>
      <c r="D73" s="15">
        <f>FR3_SI!K106</f>
        <v>0</v>
      </c>
      <c r="E73" s="15">
        <f>FR3_SI!D106</f>
        <v>0</v>
      </c>
      <c r="F73" s="15" t="str">
        <f>FR3_SI!C106</f>
        <v>Network devices shall provide tamper resistance and detection mechanisms to protect against unauthorized physical access into the device.</v>
      </c>
      <c r="G73" s="12"/>
      <c r="H73" s="12" t="s">
        <v>104</v>
      </c>
      <c r="I73" s="12" t="str">
        <f>FR3_SI!A105</f>
        <v>NDR</v>
      </c>
      <c r="J73" s="14" t="str">
        <f>FR3_SI!B105</f>
        <v>3.11</v>
      </c>
      <c r="K73" s="12" t="s">
        <v>105</v>
      </c>
      <c r="N73" s="14">
        <f>FR3_SI!J107</f>
        <v>2</v>
      </c>
    </row>
    <row r="74" spans="1:14" ht="29" hidden="1" x14ac:dyDescent="0.35">
      <c r="A74" s="12">
        <v>87</v>
      </c>
      <c r="B74" s="12" t="str">
        <f t="shared" si="2"/>
        <v>IEC 62443-4-2 - 3.11.1 NDR RE</v>
      </c>
      <c r="C74" s="14">
        <f>FR3_SI!D110</f>
        <v>0</v>
      </c>
      <c r="D74" s="15">
        <f>FR3_SI!K109</f>
        <v>0</v>
      </c>
      <c r="E74" s="15">
        <f>FR3_SI!D109</f>
        <v>0</v>
      </c>
      <c r="F74" s="15" t="str">
        <f>FR3_SI!C109</f>
        <v>Network devices shall be capable of automatically providing notification to a configurable set of recipients upon discovery of an attempt to make an unauthorized physical access. All notifications of tampering shall be logged as part of the overall audit logging function.</v>
      </c>
      <c r="G74" s="12"/>
      <c r="H74" s="12" t="s">
        <v>104</v>
      </c>
      <c r="I74" s="12" t="str">
        <f>FR3_SI!A108</f>
        <v>NDR RE</v>
      </c>
      <c r="J74" s="14" t="str">
        <f>FR3_SI!B108</f>
        <v>3.11.1</v>
      </c>
      <c r="K74" s="12" t="s">
        <v>105</v>
      </c>
      <c r="N74" s="14">
        <f>FR3_SI!J110</f>
        <v>3</v>
      </c>
    </row>
    <row r="75" spans="1:14" ht="29" hidden="1" x14ac:dyDescent="0.35">
      <c r="A75" s="12">
        <v>89</v>
      </c>
      <c r="B75" s="12" t="str">
        <f t="shared" si="2"/>
        <v>IEC 62443-4-2 - 3.12 HDR</v>
      </c>
      <c r="C75" s="14">
        <f>FR3_SI!D116</f>
        <v>0</v>
      </c>
      <c r="D75" s="15" t="str">
        <f>FR3_SI!K115</f>
        <v>IfS</v>
      </c>
      <c r="E75" s="15" t="str">
        <f>FR3_SI!D115</f>
        <v>Only required for Internet-facing according to MCSR1.0</v>
      </c>
      <c r="F75" s="15" t="str">
        <f>FR3_SI!C115</f>
        <v xml:space="preserve">Host devices shall provide the capability to provision and protect the confidentiality, integrity, and authenticity of product supplier keys and data to be used as one or more “roots of trust” at the time of manufacture of the device. </v>
      </c>
      <c r="G75" s="12"/>
      <c r="H75" s="12" t="s">
        <v>104</v>
      </c>
      <c r="I75" s="12" t="str">
        <f>FR3_SI!A114</f>
        <v>HDR</v>
      </c>
      <c r="J75" s="14" t="str">
        <f>FR3_SI!B114</f>
        <v>3.12</v>
      </c>
      <c r="K75" s="12" t="s">
        <v>105</v>
      </c>
      <c r="N75" s="14">
        <f>FR3_SI!J116</f>
        <v>2</v>
      </c>
    </row>
    <row r="76" spans="1:14" ht="29" hidden="1" x14ac:dyDescent="0.35">
      <c r="A76" s="12">
        <v>90</v>
      </c>
      <c r="B76" s="12" t="str">
        <f t="shared" si="2"/>
        <v>IEC 62443-4-2 - 3.12 NDR</v>
      </c>
      <c r="C76" s="14">
        <f>FR3_SI!D119</f>
        <v>0</v>
      </c>
      <c r="D76" s="15">
        <f>FR3_SI!K118</f>
        <v>0</v>
      </c>
      <c r="E76" s="15">
        <f>FR3_SI!D118</f>
        <v>0</v>
      </c>
      <c r="F76" s="15" t="str">
        <f>FR3_SI!C118</f>
        <v xml:space="preserve">Network devices shall provide the capability to provision and protect the confidentiality, integrity, and authenticity of product supplier keys and data to be used as one or more “roots of trust” at the time of manufacture of the device. </v>
      </c>
      <c r="G76" s="12"/>
      <c r="H76" s="12" t="s">
        <v>104</v>
      </c>
      <c r="I76" s="12" t="str">
        <f>FR3_SI!A117</f>
        <v>NDR</v>
      </c>
      <c r="J76" s="14" t="str">
        <f>FR3_SI!B117</f>
        <v>3.12</v>
      </c>
      <c r="K76" s="12" t="s">
        <v>105</v>
      </c>
      <c r="N76" s="14">
        <f>FR3_SI!J119</f>
        <v>2</v>
      </c>
    </row>
    <row r="77" spans="1:14" ht="29" hidden="1" x14ac:dyDescent="0.35">
      <c r="A77" s="12">
        <v>92</v>
      </c>
      <c r="B77" s="12" t="str">
        <f t="shared" si="2"/>
        <v>IEC 62443-4-2 - 3.13 HDR</v>
      </c>
      <c r="C77" s="14" t="str">
        <f>FR3_SI!D127</f>
        <v>Supported</v>
      </c>
      <c r="D77" s="15">
        <f>FR3_SI!K125</f>
        <v>0</v>
      </c>
      <c r="E77" s="15">
        <f>FR3_SI!D125</f>
        <v>0</v>
      </c>
      <c r="F77" s="15" t="str">
        <f>FR3_SI!C125</f>
        <v xml:space="preserve">Host devices shall 
a) provide the capability to provision and protect the confidentiality, integrity, and authenticity of asset owner keys and data to be used as “roots of trust” </v>
      </c>
      <c r="G77" s="12"/>
      <c r="H77" s="12" t="s">
        <v>104</v>
      </c>
      <c r="I77" s="12" t="str">
        <f>FR3_SI!A124</f>
        <v>HDR</v>
      </c>
      <c r="J77" s="14" t="str">
        <f>FR3_SI!B124</f>
        <v>3.13</v>
      </c>
      <c r="K77" s="12" t="s">
        <v>105</v>
      </c>
      <c r="N77" s="14">
        <f>FR3_SI!J127</f>
        <v>2</v>
      </c>
    </row>
    <row r="78" spans="1:14" ht="29" hidden="1" x14ac:dyDescent="0.35">
      <c r="A78" s="12">
        <v>93</v>
      </c>
      <c r="B78" s="12" t="str">
        <f t="shared" si="2"/>
        <v>IEC 62443-4-2 - 3.13 NDR</v>
      </c>
      <c r="C78" s="14">
        <f>FR3_SI!D131</f>
        <v>0</v>
      </c>
      <c r="D78" s="15">
        <f>FR3_SI!K129</f>
        <v>0</v>
      </c>
      <c r="E78" s="15">
        <f>FR3_SI!D129</f>
        <v>0</v>
      </c>
      <c r="F78" s="15" t="str">
        <f>FR3_SI!C129</f>
        <v>Network devices shall 
a) provide the capability to provision and protect the confidentiality, integrity, and authenticity of asset owner keys and data to be used as “roots of trust”</v>
      </c>
      <c r="G78" s="12"/>
      <c r="H78" s="12" t="s">
        <v>104</v>
      </c>
      <c r="I78" s="12" t="str">
        <f>FR3_SI!A128</f>
        <v>NDR</v>
      </c>
      <c r="J78" s="14" t="str">
        <f>FR3_SI!B128</f>
        <v>3.13</v>
      </c>
      <c r="K78" s="12" t="s">
        <v>105</v>
      </c>
      <c r="N78" s="14">
        <f>FR3_SI!J131</f>
        <v>2</v>
      </c>
    </row>
    <row r="79" spans="1:14" ht="29" hidden="1" x14ac:dyDescent="0.35">
      <c r="A79" s="12">
        <v>95</v>
      </c>
      <c r="B79" s="12" t="str">
        <f t="shared" si="2"/>
        <v>IEC 62443-4-2 - 3.14.1 EDR RE</v>
      </c>
      <c r="C79" s="14">
        <f>FR3_SI!D139</f>
        <v>0</v>
      </c>
      <c r="D79" s="15">
        <f>FR3_SI!K138</f>
        <v>0</v>
      </c>
      <c r="E79" s="15">
        <f>FR3_SI!D138</f>
        <v>0</v>
      </c>
      <c r="F79" s="15" t="str">
        <f>FR3_SI!C138</f>
        <v>Embedded devices shall use the component’s product supplier roots of trust to verify the authenticity of the firmware, software, and configuration data needed for the component’s boot process prior to it being used in the boot process.</v>
      </c>
      <c r="G79" s="12"/>
      <c r="H79" s="12" t="s">
        <v>104</v>
      </c>
      <c r="I79" s="12" t="str">
        <f>FR3_SI!A137</f>
        <v>EDR RE</v>
      </c>
      <c r="J79" s="14" t="str">
        <f>FR3_SI!B137</f>
        <v>3.14.1</v>
      </c>
      <c r="K79" s="12" t="s">
        <v>105</v>
      </c>
      <c r="N79" s="14">
        <f>FR3_SI!J139</f>
        <v>2</v>
      </c>
    </row>
    <row r="80" spans="1:14" hidden="1" x14ac:dyDescent="0.35">
      <c r="A80" s="12">
        <v>96</v>
      </c>
      <c r="B80" s="12" t="str">
        <f t="shared" si="2"/>
        <v>IEC 62443-4-2 - 3.14 HDR</v>
      </c>
      <c r="C80" s="14">
        <f>FR3_SI!D144</f>
        <v>0</v>
      </c>
      <c r="D80" s="15" t="str">
        <f>FR3_SI!K141</f>
        <v>IfS</v>
      </c>
      <c r="E80" s="15">
        <f>FR3_SI!D141</f>
        <v>0</v>
      </c>
      <c r="F80" s="15" t="str">
        <f>FR3_SI!C141</f>
        <v>Host devices shall verify the integrity of the firmware  needed for component’s boot process prior to it being used in the boot process.</v>
      </c>
      <c r="G80" s="12"/>
      <c r="H80" s="12" t="s">
        <v>104</v>
      </c>
      <c r="I80" s="12" t="str">
        <f>FR3_SI!A140</f>
        <v>HDR</v>
      </c>
      <c r="J80" s="14" t="str">
        <f>FR3_SI!B140</f>
        <v>3.14</v>
      </c>
      <c r="K80" s="12" t="s">
        <v>105</v>
      </c>
      <c r="N80" s="14">
        <f>FR3_SI!J144</f>
        <v>1</v>
      </c>
    </row>
    <row r="81" spans="1:14" ht="29" hidden="1" x14ac:dyDescent="0.35">
      <c r="A81" s="12">
        <v>97</v>
      </c>
      <c r="B81" s="12" t="str">
        <f t="shared" si="2"/>
        <v>IEC 62443-4-2 - 3.14.1 HDR RE</v>
      </c>
      <c r="C81" s="14">
        <f>FR3_SI!D147</f>
        <v>0</v>
      </c>
      <c r="D81" s="15">
        <f>FR3_SI!K146</f>
        <v>0</v>
      </c>
      <c r="E81" s="15">
        <f>FR3_SI!D146</f>
        <v>0</v>
      </c>
      <c r="F81" s="15" t="str">
        <f>FR3_SI!C146</f>
        <v>Host devices shall use the component’s product supplier roots of trust to verify the authenticity of the firmware, software, and configuration data needed for component’s boot process prior to it being used in the boot process.</v>
      </c>
      <c r="G81" s="12"/>
      <c r="H81" s="12" t="s">
        <v>104</v>
      </c>
      <c r="I81" s="12" t="str">
        <f>FR3_SI!A145</f>
        <v>HDR RE</v>
      </c>
      <c r="J81" s="14" t="str">
        <f>FR3_SI!B145</f>
        <v>3.14.1</v>
      </c>
      <c r="K81" s="12" t="s">
        <v>105</v>
      </c>
      <c r="N81" s="14">
        <f>FR3_SI!J147</f>
        <v>2</v>
      </c>
    </row>
    <row r="82" spans="1:14" hidden="1" x14ac:dyDescent="0.35">
      <c r="A82" s="12">
        <v>98</v>
      </c>
      <c r="B82" s="12" t="str">
        <f t="shared" si="2"/>
        <v>IEC 62443-4-2 - 3.14 NDR</v>
      </c>
      <c r="C82" s="14">
        <f>FR3_SI!D152</f>
        <v>0</v>
      </c>
      <c r="D82" s="15" t="str">
        <f>FR3_SI!K149</f>
        <v>IfS</v>
      </c>
      <c r="E82" s="15">
        <f>FR3_SI!D149</f>
        <v>0</v>
      </c>
      <c r="F82" s="15" t="str">
        <f>FR3_SI!C149</f>
        <v>Network devices shall verify the integrity of the firmware needed for the component’s boot and runtime processes prior to use.</v>
      </c>
      <c r="G82" s="12"/>
      <c r="H82" s="12" t="s">
        <v>104</v>
      </c>
      <c r="I82" s="12" t="str">
        <f>FR3_SI!A148</f>
        <v>NDR</v>
      </c>
      <c r="J82" s="14" t="str">
        <f>FR3_SI!B148</f>
        <v>3.14</v>
      </c>
      <c r="K82" s="12" t="s">
        <v>105</v>
      </c>
      <c r="N82" s="14">
        <f>FR3_SI!J152</f>
        <v>1</v>
      </c>
    </row>
    <row r="83" spans="1:14" ht="29" hidden="1" x14ac:dyDescent="0.35">
      <c r="A83" s="12">
        <v>99</v>
      </c>
      <c r="B83" s="12" t="str">
        <f t="shared" si="2"/>
        <v>IEC 62443-4-2 - 3.14.1 NDR RE</v>
      </c>
      <c r="C83" s="14">
        <f>FR3_SI!D155</f>
        <v>0</v>
      </c>
      <c r="D83" s="15">
        <f>FR3_SI!K154</f>
        <v>0</v>
      </c>
      <c r="E83" s="15">
        <f>FR3_SI!D154</f>
        <v>0</v>
      </c>
      <c r="F83" s="15" t="str">
        <f>FR3_SI!C154</f>
        <v>Network devices shall use the component’s product supplier roots of trust to verity the authenticity of the firmware, software, and configuration data needed for component’s boot process prior to it being used in the boot process.</v>
      </c>
      <c r="G83" s="12"/>
      <c r="H83" s="12" t="s">
        <v>104</v>
      </c>
      <c r="I83" s="12" t="str">
        <f>FR3_SI!A153</f>
        <v>NDR RE</v>
      </c>
      <c r="J83" s="14" t="str">
        <f>FR3_SI!B153</f>
        <v>3.14.1</v>
      </c>
      <c r="K83" s="12" t="s">
        <v>105</v>
      </c>
      <c r="N83" s="14">
        <f>FR3_SI!J155</f>
        <v>2</v>
      </c>
    </row>
    <row r="84" spans="1:14" ht="29" hidden="1" x14ac:dyDescent="0.35">
      <c r="A84" s="12">
        <v>101</v>
      </c>
      <c r="B84" s="12" t="str">
        <f t="shared" si="2"/>
        <v>IEC 62443-4-2 - 4.2 CR</v>
      </c>
      <c r="C84" s="14">
        <f>FR4_DC!D15</f>
        <v>0</v>
      </c>
      <c r="D84" s="15">
        <f>FR4_DC!K14</f>
        <v>0</v>
      </c>
      <c r="E84" s="15">
        <f>FR4_DC!D14</f>
        <v>0</v>
      </c>
      <c r="F84" s="15" t="str">
        <f>FR4_DC!C14</f>
        <v>Components shall provide the capability to erase all information for which explicit read authorization is supported from components to be released from active service and/or decommissioned.</v>
      </c>
      <c r="G84" s="12"/>
      <c r="H84" s="12" t="s">
        <v>104</v>
      </c>
      <c r="I84" s="12" t="str">
        <f>FR4_DC!A13</f>
        <v>CR</v>
      </c>
      <c r="J84" s="14" t="str">
        <f>FR4_DC!B13</f>
        <v>4.2</v>
      </c>
      <c r="K84" s="12" t="s">
        <v>105</v>
      </c>
      <c r="N84" s="14">
        <f>FR4_DC!J15</f>
        <v>2</v>
      </c>
    </row>
    <row r="85" spans="1:14" ht="58" hidden="1" x14ac:dyDescent="0.35">
      <c r="A85" s="12">
        <v>102</v>
      </c>
      <c r="B85" s="12" t="str">
        <f t="shared" si="2"/>
        <v>IEC 62443-4-2 - 4.2.1 CR RE</v>
      </c>
      <c r="C85" s="14">
        <f>FR4_DC!D18</f>
        <v>0</v>
      </c>
      <c r="D85" s="15">
        <f>FR4_DC!K17</f>
        <v>0</v>
      </c>
      <c r="E85" s="15">
        <f>FR4_DC!D17</f>
        <v>0</v>
      </c>
      <c r="F85" s="15" t="str">
        <f>FR4_DC!C17</f>
        <v>Components shall provide the capability to protect against unauthorized and unintended information transfer via volatile shared memory resources. 
Volatile memory resources are those that generally do not retain information after being released to memory management. However, there are attacks against random access memory (RAM) which might extract key material or other confidential data before it is actually over-written. Therefore, when volatile shared memory is released back to the control system for use by a different user, all unique data and connections to unique data need to be purged from the resource so it is not visible or accessible to the new user.</v>
      </c>
      <c r="G85" s="12"/>
      <c r="H85" s="12" t="s">
        <v>104</v>
      </c>
      <c r="I85" s="12" t="str">
        <f>FR4_DC!A16</f>
        <v>CR RE</v>
      </c>
      <c r="J85" s="14" t="str">
        <f>FR4_DC!B16</f>
        <v>4.2.1</v>
      </c>
      <c r="K85" s="12" t="s">
        <v>105</v>
      </c>
      <c r="N85" s="14">
        <f>FR4_DC!J18</f>
        <v>3</v>
      </c>
    </row>
    <row r="86" spans="1:14" hidden="1" x14ac:dyDescent="0.35">
      <c r="A86" s="12">
        <v>103</v>
      </c>
      <c r="B86" s="12" t="str">
        <f t="shared" si="2"/>
        <v>IEC 62443-4-2 - 4.2.2 CR RE</v>
      </c>
      <c r="C86" s="14">
        <f>FR4_DC!D21</f>
        <v>0</v>
      </c>
      <c r="D86" s="15">
        <f>FR4_DC!K20</f>
        <v>0</v>
      </c>
      <c r="E86" s="15">
        <f>FR4_DC!D20</f>
        <v>0</v>
      </c>
      <c r="F86" s="15" t="str">
        <f>FR4_DC!C20</f>
        <v>Components shall provide the capability to verify that the erasure of information occurred.</v>
      </c>
      <c r="H86" s="12" t="s">
        <v>104</v>
      </c>
      <c r="I86" s="12" t="str">
        <f>FR4_DC!A19</f>
        <v>CR RE</v>
      </c>
      <c r="J86" s="14" t="str">
        <f>FR4_DC!B19</f>
        <v>4.2.2</v>
      </c>
      <c r="K86" s="12" t="s">
        <v>105</v>
      </c>
      <c r="N86" s="14">
        <f>FR4_DC!J21</f>
        <v>3</v>
      </c>
    </row>
    <row r="87" spans="1:14" hidden="1" x14ac:dyDescent="0.35">
      <c r="A87" s="12">
        <v>105</v>
      </c>
      <c r="B87" s="12" t="str">
        <f t="shared" si="2"/>
        <v>IEC 62443-4-2 - 5.1 CR</v>
      </c>
      <c r="C87" s="14">
        <f>FR5_RDF!D11</f>
        <v>0</v>
      </c>
      <c r="D87" s="15">
        <f>FR5_RDF!K10</f>
        <v>0</v>
      </c>
      <c r="E87" s="15">
        <f>FR5_RDF!D10</f>
        <v>0</v>
      </c>
      <c r="F87" s="15" t="str">
        <f>FR5_RDF!C10</f>
        <v>Components shall support a segmented network to support zones and conduits as needed, to support the broader network architecture based on logical segmentation and criticality.</v>
      </c>
      <c r="H87" s="12" t="s">
        <v>104</v>
      </c>
      <c r="I87" s="12" t="str">
        <f>FR5_RDF!A9</f>
        <v>CR</v>
      </c>
      <c r="J87" s="14" t="str">
        <f>FR5_RDF!B9</f>
        <v>5.1</v>
      </c>
      <c r="K87" s="12" t="s">
        <v>105</v>
      </c>
      <c r="N87" s="14">
        <f>FR5_RDF!J11</f>
        <v>1</v>
      </c>
    </row>
    <row r="88" spans="1:14" ht="29" hidden="1" x14ac:dyDescent="0.35">
      <c r="A88" s="12">
        <v>106</v>
      </c>
      <c r="B88" s="12" t="str">
        <f t="shared" si="2"/>
        <v>IEC 62443-4-2 - 5.2 NDR</v>
      </c>
      <c r="C88" s="14">
        <f>FR5_RDF!D14</f>
        <v>0</v>
      </c>
      <c r="D88" s="15">
        <f>FR5_RDF!K13</f>
        <v>0</v>
      </c>
      <c r="E88" s="15">
        <f>FR5_RDF!D13</f>
        <v>0</v>
      </c>
      <c r="F88" s="15" t="str">
        <f>FR5_RDF!C13</f>
        <v>A network device at a zone boundary shall provide the capability to monitor and control communications at zone boundaries to enforce the compartmentalization defined in the risk-based zones and conduits model.</v>
      </c>
      <c r="H88" s="12" t="s">
        <v>104</v>
      </c>
      <c r="I88" s="12" t="str">
        <f>FR5_RDF!A12</f>
        <v>NDR</v>
      </c>
      <c r="J88" s="14" t="str">
        <f>FR5_RDF!B12</f>
        <v>5.2</v>
      </c>
      <c r="K88" s="12" t="s">
        <v>105</v>
      </c>
      <c r="N88" s="14">
        <f>FR5_RDF!J14</f>
        <v>1</v>
      </c>
    </row>
    <row r="89" spans="1:14" hidden="1" x14ac:dyDescent="0.35">
      <c r="A89" s="12">
        <v>107</v>
      </c>
      <c r="B89" s="12" t="str">
        <f t="shared" si="2"/>
        <v>IEC 62443-4-2 - 5.2.1 NDR RE</v>
      </c>
      <c r="C89" s="14">
        <f>FR5_RDF!D17</f>
        <v>0</v>
      </c>
      <c r="D89" s="15">
        <f>FR5_RDF!K16</f>
        <v>0</v>
      </c>
      <c r="E89" s="15">
        <f>FR5_RDF!D16</f>
        <v>0</v>
      </c>
      <c r="F89" s="15" t="str">
        <f>FR5_RDF!C16</f>
        <v>The network component shall provide the capability to deny network traffic by default and allow network traffic by exception (also termed deny all, permit by exception).</v>
      </c>
      <c r="H89" s="12" t="s">
        <v>104</v>
      </c>
      <c r="I89" s="12" t="str">
        <f>FR5_RDF!A15</f>
        <v>NDR RE</v>
      </c>
      <c r="J89" s="14" t="str">
        <f>FR5_RDF!B15</f>
        <v>5.2.1</v>
      </c>
      <c r="K89" s="12" t="s">
        <v>105</v>
      </c>
      <c r="N89" s="14">
        <f>FR5_RDF!J17</f>
        <v>2</v>
      </c>
    </row>
    <row r="90" spans="1:14" ht="58" hidden="1" x14ac:dyDescent="0.35">
      <c r="A90" s="12">
        <v>108</v>
      </c>
      <c r="B90" s="12" t="str">
        <f t="shared" si="2"/>
        <v>IEC 62443-4-2 - 5.2.2 NDR RE</v>
      </c>
      <c r="C90" s="14">
        <f>FR5_RDF!D20</f>
        <v>0</v>
      </c>
      <c r="D90" s="15">
        <f>FR5_RDF!K19</f>
        <v>0</v>
      </c>
      <c r="E90" s="15">
        <f>FR5_RDF!D19</f>
        <v>0</v>
      </c>
      <c r="F90" s="15" t="str">
        <f>FR5_RDF!C19</f>
        <v xml:space="preserve">The network component shall provide the capability to protect against any communication through the control system boundary (also termed island mode). 
NOTE 1  Examples of when this capability may be used include where a security violation and/or breach has been detected within the control system, or an attack is occurring at the enterprise level.
</v>
      </c>
      <c r="G90" s="12"/>
      <c r="H90" s="12" t="s">
        <v>104</v>
      </c>
      <c r="I90" s="12" t="str">
        <f>FR5_RDF!A18</f>
        <v>NDR RE</v>
      </c>
      <c r="J90" s="14" t="str">
        <f>FR5_RDF!B18</f>
        <v>5.2.2</v>
      </c>
      <c r="K90" s="12" t="s">
        <v>105</v>
      </c>
      <c r="N90" s="14">
        <f>FR5_RDF!J20</f>
        <v>3</v>
      </c>
    </row>
    <row r="91" spans="1:14" ht="58" hidden="1" x14ac:dyDescent="0.35">
      <c r="A91" s="12">
        <v>109</v>
      </c>
      <c r="B91" s="12" t="str">
        <f t="shared" si="2"/>
        <v>IEC 62443-4-2 - 5.2.3 NDR RE</v>
      </c>
      <c r="C91" s="14">
        <f>FR5_RDF!D23</f>
        <v>0</v>
      </c>
      <c r="D91" s="15">
        <f>FR5_RDF!K22</f>
        <v>0</v>
      </c>
      <c r="E91" s="15">
        <f>FR5_RDF!D22</f>
        <v>0</v>
      </c>
      <c r="F91" s="15" t="str">
        <f>FR5_RDF!C22</f>
        <v>The network component shall provide the capability to protect against any communication through the control system boundary when there is an operational failure of the boundary protection mechanisms (also termed fail close).
NOTE 2  Examples of when this capability may be used include scenarios where a hardware failure or power failure causes boundary protection devices to function in a degraded mode or fail entirely.</v>
      </c>
      <c r="G91" s="12"/>
      <c r="H91" s="12" t="s">
        <v>104</v>
      </c>
      <c r="I91" s="12" t="str">
        <f>FR5_RDF!A21</f>
        <v>NDR RE</v>
      </c>
      <c r="J91" s="14" t="str">
        <f>FR5_RDF!B21</f>
        <v>5.2.3</v>
      </c>
      <c r="K91" s="12" t="s">
        <v>105</v>
      </c>
      <c r="N91" s="14">
        <f>FR5_RDF!J23</f>
        <v>3</v>
      </c>
    </row>
    <row r="92" spans="1:14" ht="29" hidden="1" x14ac:dyDescent="0.35">
      <c r="A92" s="12">
        <v>110</v>
      </c>
      <c r="B92" s="12" t="str">
        <f t="shared" si="2"/>
        <v>IEC 62443-4-2 - 5.3 NDR</v>
      </c>
      <c r="C92" s="14">
        <f>FR5_RDF!D26</f>
        <v>0</v>
      </c>
      <c r="D92" s="15">
        <f>FR5_RDF!K25</f>
        <v>0</v>
      </c>
      <c r="E92" s="15">
        <f>FR5_RDF!D25</f>
        <v>0</v>
      </c>
      <c r="F92" s="15" t="str">
        <f>FR5_RDF!C25</f>
        <v>A network device at a zone boundary shall provide the capability to protect against general purpose, person-to-person messages from being received from users or systems external to the control system.</v>
      </c>
      <c r="G92" s="12"/>
      <c r="H92" s="12" t="s">
        <v>104</v>
      </c>
      <c r="I92" s="12" t="str">
        <f>FR5_RDF!A24</f>
        <v>NDR</v>
      </c>
      <c r="J92" s="14" t="str">
        <f>FR5_RDF!B24</f>
        <v>5.3</v>
      </c>
      <c r="K92" s="12" t="s">
        <v>105</v>
      </c>
      <c r="N92" s="14">
        <f>FR5_RDF!J26</f>
        <v>1</v>
      </c>
    </row>
    <row r="93" spans="1:14" hidden="1" x14ac:dyDescent="0.35">
      <c r="A93" s="12">
        <v>111</v>
      </c>
      <c r="B93" s="12" t="str">
        <f t="shared" si="2"/>
        <v>IEC 62443-4-2 - 5.4 CR</v>
      </c>
      <c r="C93" s="14">
        <f>FR5_RDF!D29</f>
        <v>0</v>
      </c>
      <c r="D93" s="15">
        <f>FR5_RDF!K28</f>
        <v>0</v>
      </c>
      <c r="E93" s="15">
        <f>FR5_RDF!D28</f>
        <v>0</v>
      </c>
      <c r="F93" s="15" t="str">
        <f>FR5_RDF!C28</f>
        <v xml:space="preserve">There is no component level requirement associated with ISA‑62443‑3‑3 SR 5.4. </v>
      </c>
      <c r="G93" s="12"/>
      <c r="H93" s="12" t="s">
        <v>104</v>
      </c>
      <c r="I93" s="12" t="str">
        <f>FR5_RDF!A27</f>
        <v>CR</v>
      </c>
      <c r="J93" s="14" t="str">
        <f>FR5_RDF!B27</f>
        <v>5.4</v>
      </c>
      <c r="K93" s="12" t="s">
        <v>105</v>
      </c>
      <c r="N93" s="14">
        <f>FR5_RDF!J29</f>
        <v>0</v>
      </c>
    </row>
    <row r="94" spans="1:14" hidden="1" x14ac:dyDescent="0.35">
      <c r="A94" s="12">
        <v>112</v>
      </c>
      <c r="B94" s="12" t="str">
        <f t="shared" si="2"/>
        <v>IEC 62443-4-2 - 6.1 CR</v>
      </c>
      <c r="C94" s="14">
        <f>FR6_TRE!D11</f>
        <v>0</v>
      </c>
      <c r="D94" s="15">
        <f>FR6_TRE!K10</f>
        <v>0</v>
      </c>
      <c r="E94" s="15">
        <f>FR6_TRE!D10</f>
        <v>0</v>
      </c>
      <c r="F94" s="15" t="str">
        <f>FR6_TRE!C10</f>
        <v>Components shall provide the capability for authorized humans and/or tools to access audit logs on a read-only basis.</v>
      </c>
      <c r="G94" s="12"/>
      <c r="H94" s="12" t="s">
        <v>104</v>
      </c>
      <c r="I94" s="12" t="str">
        <f>FR6_TRE!A9</f>
        <v>CR</v>
      </c>
      <c r="J94" s="14" t="str">
        <f>FR6_TRE!B9</f>
        <v>6.1</v>
      </c>
      <c r="K94" s="12" t="s">
        <v>105</v>
      </c>
      <c r="N94" s="14">
        <f>FR6_TRE!J11</f>
        <v>1</v>
      </c>
    </row>
    <row r="95" spans="1:14" hidden="1" x14ac:dyDescent="0.35">
      <c r="A95" s="12">
        <v>113</v>
      </c>
      <c r="B95" s="12" t="str">
        <f t="shared" si="2"/>
        <v>IEC 62443-4-2 - 6.1.1 CR RE</v>
      </c>
      <c r="C95" s="14">
        <f>FR6_TRE!D14</f>
        <v>0</v>
      </c>
      <c r="D95" s="15">
        <f>FR6_TRE!K13</f>
        <v>0</v>
      </c>
      <c r="E95" s="15">
        <f>FR6_TRE!D13</f>
        <v>0</v>
      </c>
      <c r="F95" s="15" t="str">
        <f>FR6_TRE!C13</f>
        <v>Components shall provide programmatic access to audit records by either using an application programming interface (API) or sending the audit records to a centralized system.</v>
      </c>
      <c r="G95" s="12"/>
      <c r="H95" s="12" t="s">
        <v>104</v>
      </c>
      <c r="I95" s="12" t="str">
        <f>FR6_TRE!A12</f>
        <v>CR RE</v>
      </c>
      <c r="J95" s="14" t="str">
        <f>FR6_TRE!B12</f>
        <v>6.1.1</v>
      </c>
      <c r="K95" s="12" t="s">
        <v>105</v>
      </c>
      <c r="N95" s="14">
        <f>FR6_TRE!J14</f>
        <v>3</v>
      </c>
    </row>
    <row r="96" spans="1:14" ht="29" hidden="1" x14ac:dyDescent="0.35">
      <c r="A96" s="12">
        <v>114</v>
      </c>
      <c r="B96" s="12" t="str">
        <f t="shared" si="2"/>
        <v>IEC 62443-4-2 - 6.2 CR</v>
      </c>
      <c r="C96" s="14">
        <f>FR6_TRE!D17</f>
        <v>0</v>
      </c>
      <c r="D96" s="15">
        <f>FR6_TRE!K16</f>
        <v>0</v>
      </c>
      <c r="E96" s="15">
        <f>FR6_TRE!D16</f>
        <v>0</v>
      </c>
      <c r="F96" s="15" t="str">
        <f>FR6_TRE!C16</f>
        <v>Components shall provide the capability to be continuously monitored using commonly accepted security industry practices and recommendations to detect, characterize and report security breaches in a timely manner.</v>
      </c>
      <c r="G96" s="12"/>
      <c r="H96" s="12" t="s">
        <v>104</v>
      </c>
      <c r="I96" s="12" t="str">
        <f>FR6_TRE!A15</f>
        <v>CR</v>
      </c>
      <c r="J96" s="14" t="str">
        <f>FR6_TRE!B15</f>
        <v>6.2</v>
      </c>
      <c r="K96" s="12" t="s">
        <v>105</v>
      </c>
      <c r="N96" s="14">
        <f>FR6_TRE!J17</f>
        <v>2</v>
      </c>
    </row>
    <row r="97" spans="1:14" hidden="1" x14ac:dyDescent="0.35">
      <c r="A97" s="12">
        <v>116</v>
      </c>
      <c r="B97" s="12" t="str">
        <f t="shared" si="2"/>
        <v>IEC 62443-4-2 - 7.1.1 CR RE</v>
      </c>
      <c r="C97" s="14">
        <f>FR7_RA!D14</f>
        <v>0</v>
      </c>
      <c r="D97" s="15">
        <f>FR7_RA!K13</f>
        <v>0</v>
      </c>
      <c r="E97" s="15">
        <f>FR7_RA!D13</f>
        <v>0</v>
      </c>
      <c r="F97" s="15" t="str">
        <f>FR7_RA!C13</f>
        <v>Components shall provide the capability to mitigate the effects of information and/or message flooding types of DoS events.</v>
      </c>
      <c r="G97" s="12"/>
      <c r="H97" s="12" t="s">
        <v>104</v>
      </c>
      <c r="I97" s="12" t="str">
        <f>FR7_RA!A12</f>
        <v>CR RE</v>
      </c>
      <c r="J97" s="14" t="str">
        <f>FR7_RA!B12</f>
        <v>7.1.1</v>
      </c>
      <c r="K97" s="12" t="s">
        <v>105</v>
      </c>
      <c r="N97" s="14">
        <f>FR7_RA!J14</f>
        <v>2</v>
      </c>
    </row>
    <row r="98" spans="1:14" hidden="1" x14ac:dyDescent="0.35">
      <c r="A98" s="12">
        <v>117</v>
      </c>
      <c r="B98" s="12" t="str">
        <f t="shared" ref="B98:B105" si="3">CONCATENATE(H98," - ",J98," ",I98)</f>
        <v>IEC 62443-4-2 - 7.2 CR</v>
      </c>
      <c r="C98" s="14">
        <f>FR7_RA!D17</f>
        <v>0</v>
      </c>
      <c r="D98" s="15">
        <f>FR7_RA!K16</f>
        <v>0</v>
      </c>
      <c r="E98" s="15">
        <f>FR7_RA!D16</f>
        <v>0</v>
      </c>
      <c r="F98" s="15" t="str">
        <f>FR7_RA!C16</f>
        <v>Components shall provide the capability to limit the use of resources by security functions to protect against resource exhaustion.</v>
      </c>
      <c r="G98" s="12"/>
      <c r="H98" s="12" t="s">
        <v>104</v>
      </c>
      <c r="I98" s="12" t="str">
        <f>FR7_RA!A15</f>
        <v>CR</v>
      </c>
      <c r="J98" s="14" t="str">
        <f>FR7_RA!B15</f>
        <v>7.2</v>
      </c>
      <c r="K98" s="12" t="s">
        <v>105</v>
      </c>
      <c r="N98" s="14">
        <f>FR7_RA!J17</f>
        <v>1</v>
      </c>
    </row>
    <row r="99" spans="1:14" ht="29" hidden="1" x14ac:dyDescent="0.35">
      <c r="A99" s="12">
        <v>118</v>
      </c>
      <c r="B99" s="12" t="str">
        <f t="shared" si="3"/>
        <v>IEC 62443-4-2 - 7.3 CR</v>
      </c>
      <c r="C99" s="14">
        <f>FR7_RA!D20</f>
        <v>0</v>
      </c>
      <c r="D99" s="15">
        <f>FR7_RA!K19</f>
        <v>0</v>
      </c>
      <c r="E99" s="15">
        <f>FR7_RA!D19</f>
        <v>0</v>
      </c>
      <c r="F99" s="15" t="str">
        <f>FR7_RA!C19</f>
        <v>Components shall provide the capability to participate in system level backup operations in order to safeguard the component state (user- and system-level information). The backup process shall not affect the normal component operations.</v>
      </c>
      <c r="H99" s="12" t="s">
        <v>104</v>
      </c>
      <c r="I99" s="12" t="str">
        <f>FR7_RA!A18</f>
        <v>CR</v>
      </c>
      <c r="J99" s="14" t="str">
        <f>FR7_RA!B18</f>
        <v>7.3</v>
      </c>
      <c r="K99" s="12" t="s">
        <v>105</v>
      </c>
      <c r="N99" s="14">
        <f>FR7_RA!J20</f>
        <v>1</v>
      </c>
    </row>
    <row r="100" spans="1:14" hidden="1" x14ac:dyDescent="0.35">
      <c r="A100" s="12">
        <v>119</v>
      </c>
      <c r="B100" s="12" t="str">
        <f t="shared" si="3"/>
        <v>IEC 62443-4-2 - 7.3.1 CR RE</v>
      </c>
      <c r="C100" s="14">
        <f>FR7_RA!D23</f>
        <v>0</v>
      </c>
      <c r="D100" s="15">
        <f>FR7_RA!K22</f>
        <v>0</v>
      </c>
      <c r="E100" s="15">
        <f>FR7_RA!D22</f>
        <v>0</v>
      </c>
      <c r="F100" s="15" t="str">
        <f>FR7_RA!C22</f>
        <v>Components shall provide the capability to validate the integrity of backed up information prior to the initiation of a restore of that information.</v>
      </c>
      <c r="H100" s="12" t="s">
        <v>104</v>
      </c>
      <c r="I100" s="12" t="str">
        <f>FR7_RA!A21</f>
        <v>CR RE</v>
      </c>
      <c r="J100" s="14" t="str">
        <f>FR7_RA!B21</f>
        <v>7.3.1</v>
      </c>
      <c r="K100" s="12" t="s">
        <v>105</v>
      </c>
      <c r="N100" s="14">
        <f>FR7_RA!J23</f>
        <v>2</v>
      </c>
    </row>
    <row r="101" spans="1:14" hidden="1" x14ac:dyDescent="0.35">
      <c r="A101" s="12">
        <v>120</v>
      </c>
      <c r="B101" s="12" t="str">
        <f t="shared" si="3"/>
        <v>IEC 62443-4-2 - 7.4 CR</v>
      </c>
      <c r="C101" s="14">
        <f>FR7_RA!D26</f>
        <v>0</v>
      </c>
      <c r="D101" s="15">
        <f>FR7_RA!K25</f>
        <v>0</v>
      </c>
      <c r="E101" s="15">
        <f>FR7_RA!D25</f>
        <v>0</v>
      </c>
      <c r="F101" s="15" t="str">
        <f>FR7_RA!C25</f>
        <v>Components shall provide the capability to be recovered and reconstituted to a known secure state after a disruption or failure.</v>
      </c>
      <c r="G101" s="12"/>
      <c r="H101" s="12" t="s">
        <v>104</v>
      </c>
      <c r="I101" s="12" t="str">
        <f>FR7_RA!A24</f>
        <v>CR</v>
      </c>
      <c r="J101" s="14" t="str">
        <f>FR7_RA!B24</f>
        <v>7.4</v>
      </c>
      <c r="K101" s="12" t="s">
        <v>105</v>
      </c>
      <c r="N101" s="14">
        <f>FR7_RA!J26</f>
        <v>1</v>
      </c>
    </row>
    <row r="102" spans="1:14" hidden="1" x14ac:dyDescent="0.35">
      <c r="A102" s="12">
        <v>121</v>
      </c>
      <c r="B102" s="12" t="str">
        <f t="shared" si="3"/>
        <v>IEC 62443-4-2 - 7.5 CR</v>
      </c>
      <c r="C102" s="14">
        <f>FR7_RA!D29</f>
        <v>0</v>
      </c>
      <c r="D102" s="15">
        <f>FR7_RA!K28</f>
        <v>0</v>
      </c>
      <c r="E102" s="15">
        <f>FR7_RA!D28</f>
        <v>0</v>
      </c>
      <c r="F102" s="15" t="str">
        <f>FR7_RA!C28</f>
        <v>There is no component level requirement associated with ISA-62443-3-3 SR 7.5</v>
      </c>
      <c r="H102" s="12" t="s">
        <v>104</v>
      </c>
      <c r="I102" s="12" t="str">
        <f>FR7_RA!A27</f>
        <v>CR</v>
      </c>
      <c r="J102" s="14" t="str">
        <f>FR7_RA!B27</f>
        <v>7.5</v>
      </c>
      <c r="K102" s="12" t="s">
        <v>105</v>
      </c>
      <c r="N102" s="14">
        <f>FR7_RA!J29</f>
        <v>0</v>
      </c>
    </row>
    <row r="103" spans="1:14" ht="29" hidden="1" x14ac:dyDescent="0.35">
      <c r="A103" s="12">
        <v>122</v>
      </c>
      <c r="B103" s="12" t="str">
        <f t="shared" si="3"/>
        <v>IEC 62443-4-2 - 7.6 CR</v>
      </c>
      <c r="C103" s="14">
        <f>FR7_RA!D33</f>
        <v>0</v>
      </c>
      <c r="D103" s="15">
        <f>FR7_RA!K31</f>
        <v>0</v>
      </c>
      <c r="E103" s="15">
        <f>FR7_RA!D31</f>
        <v>0</v>
      </c>
      <c r="F103" s="15" t="str">
        <f>FR7_RA!C31</f>
        <v xml:space="preserve">Components shall provide the capability to be configured according to recommended network and security configurations as described in guidelines provided by the control system supplier. </v>
      </c>
      <c r="H103" s="12" t="s">
        <v>104</v>
      </c>
      <c r="I103" s="12" t="str">
        <f>FR7_RA!A30</f>
        <v>CR</v>
      </c>
      <c r="J103" s="14" t="str">
        <f>FR7_RA!B30</f>
        <v>7.6</v>
      </c>
      <c r="K103" s="12" t="s">
        <v>105</v>
      </c>
      <c r="N103" s="14">
        <f>FR7_RA!J33</f>
        <v>1</v>
      </c>
    </row>
    <row r="104" spans="1:14" hidden="1" x14ac:dyDescent="0.35">
      <c r="A104" s="12">
        <v>123</v>
      </c>
      <c r="B104" s="12" t="str">
        <f t="shared" si="3"/>
        <v>IEC 62443-4-2 - 7.6.1 CR RE</v>
      </c>
      <c r="C104" s="14">
        <f>FR7_RA!D36</f>
        <v>0</v>
      </c>
      <c r="D104" s="15">
        <f>FR7_RA!K35</f>
        <v>0</v>
      </c>
      <c r="E104" s="15">
        <f>FR7_RA!D35</f>
        <v>0</v>
      </c>
      <c r="F104" s="15" t="str">
        <f>FR7_RA!C35</f>
        <v>Components shall provide the capability to generate a report listing the currently deployed security settings in a machine-readable format.</v>
      </c>
      <c r="G104" s="12"/>
      <c r="H104" s="12" t="s">
        <v>104</v>
      </c>
      <c r="I104" s="12" t="str">
        <f>FR7_RA!A34</f>
        <v>CR RE</v>
      </c>
      <c r="J104" s="14" t="str">
        <f>FR7_RA!B34</f>
        <v>7.6.1</v>
      </c>
      <c r="K104" s="12" t="s">
        <v>105</v>
      </c>
      <c r="N104" s="14">
        <f>FR7_RA!J36</f>
        <v>3</v>
      </c>
    </row>
    <row r="105" spans="1:14" ht="29" hidden="1" x14ac:dyDescent="0.35">
      <c r="A105" s="12">
        <v>125</v>
      </c>
      <c r="B105" s="12" t="str">
        <f t="shared" si="3"/>
        <v>IEC 62443-4-2 - 7.8 CR</v>
      </c>
      <c r="C105" s="14">
        <f>FR7_RA!D42</f>
        <v>0</v>
      </c>
      <c r="D105" s="15">
        <f>FR7_RA!K41</f>
        <v>0</v>
      </c>
      <c r="E105" s="15" t="str">
        <f>FR7_RA!D41</f>
        <v>Note: -3-3 SR 7.8 requires that "The control system shall provide the capability to report the current list of installed components and their associated properties."</v>
      </c>
      <c r="F105" s="15" t="str">
        <f>FR7_RA!C41</f>
        <v>Components shall provide the capability to support a control system component inventory according to ISA‑62443‑3‑3  SR 7.8.</v>
      </c>
      <c r="G105" s="12"/>
      <c r="H105" s="12" t="s">
        <v>104</v>
      </c>
      <c r="I105" s="12" t="str">
        <f>FR7_RA!A40</f>
        <v>CR</v>
      </c>
      <c r="J105" s="14" t="str">
        <f>FR7_RA!B40</f>
        <v>7.8</v>
      </c>
      <c r="K105" s="12" t="s">
        <v>105</v>
      </c>
      <c r="N105" s="14">
        <f>FR7_RA!J42</f>
        <v>2</v>
      </c>
    </row>
    <row r="106" spans="1:14" ht="43.5" x14ac:dyDescent="0.35">
      <c r="A106" s="12">
        <v>70</v>
      </c>
      <c r="B106" s="12" t="str">
        <f t="shared" ref="B106:B126" si="4">CONCATENATE(H106," - ",J106," ",I106)</f>
        <v>IEC 62443-4-2 - 3.5 CR</v>
      </c>
      <c r="C106" s="15" t="str">
        <f>FR3_SI!D57</f>
        <v>Supported</v>
      </c>
      <c r="D106" s="15" t="str">
        <f>FR3_SI!K56</f>
        <v>MP-01.1</v>
      </c>
      <c r="E106" s="15" t="str">
        <f>FR3_SI!D56</f>
        <v>Partially addressed by DSAC, should this be kept or not? Could give a wrong signal… an equivalent is in security assessment list. Suggestion is to keep it, but it may be perceived as raising the bar…</v>
      </c>
      <c r="F106" s="15" t="str">
        <f>FR3_SI!C56</f>
        <v>Components shall validate the syntax, length and content of any input data that is used as an industrial process control input or input via external interfaces that directly impacts the action of the component.</v>
      </c>
      <c r="G106" s="12"/>
      <c r="H106" s="12" t="s">
        <v>104</v>
      </c>
      <c r="I106" s="12" t="str">
        <f>FR3_SI!A55</f>
        <v>CR</v>
      </c>
      <c r="J106" s="14" t="str">
        <f>FR3_SI!B55</f>
        <v>3.5</v>
      </c>
      <c r="K106" s="12" t="s">
        <v>105</v>
      </c>
      <c r="N106" s="14">
        <f>FR3_SI!J57</f>
        <v>1</v>
      </c>
    </row>
    <row r="107" spans="1:14" x14ac:dyDescent="0.35">
      <c r="A107" s="12">
        <v>72</v>
      </c>
      <c r="B107" s="12" t="str">
        <f t="shared" si="4"/>
        <v>IEC 62443-4-2 - 3.7 CR</v>
      </c>
      <c r="C107" s="15" t="str">
        <f>FR3_SI!D63</f>
        <v>Supported</v>
      </c>
      <c r="D107" s="15" t="str">
        <f>FR3_SI!K62</f>
        <v>MP-01.1</v>
      </c>
      <c r="E107" s="15">
        <f>FR3_SI!D62</f>
        <v>0</v>
      </c>
      <c r="F107" s="15" t="str">
        <f>FR3_SI!C62</f>
        <v>Components shall identify and handle error conditions in a manner that does not provide information that could be exploited by adversaries to attack the IACS.</v>
      </c>
      <c r="G107" s="12"/>
      <c r="H107" s="12" t="s">
        <v>104</v>
      </c>
      <c r="I107" s="12" t="str">
        <f>FR3_SI!A61</f>
        <v>CR</v>
      </c>
      <c r="J107" s="14" t="str">
        <f>FR3_SI!B61</f>
        <v>3.7</v>
      </c>
      <c r="K107" s="12" t="s">
        <v>105</v>
      </c>
      <c r="N107" s="14">
        <f>FR3_SI!J63</f>
        <v>1</v>
      </c>
    </row>
    <row r="108" spans="1:14" ht="68.25" customHeight="1" x14ac:dyDescent="0.35">
      <c r="A108" s="12">
        <v>73</v>
      </c>
      <c r="B108" s="12" t="str">
        <f t="shared" si="4"/>
        <v>IEC 62443-4-2 - 3.8 CR</v>
      </c>
      <c r="C108" s="15" t="str">
        <f>FR3_SI!D68</f>
        <v>Supported</v>
      </c>
      <c r="D108" s="15" t="str">
        <f>FR3_SI!K65</f>
        <v>MP-01.1</v>
      </c>
      <c r="E108" s="15" t="str">
        <f>FR3_SI!D65</f>
        <v>Relates to input validation / communication robustness, as well as secure protocols</v>
      </c>
      <c r="F108" s="15" t="str">
        <f>FR3_SI!C65</f>
        <v>Components shall provide mechanisms to protect the integrity of communications sessions including:
a)  the capability to invalidate session identifiers upon user logout or other session termination (including browser sessions);</v>
      </c>
      <c r="G108" s="12"/>
      <c r="H108" s="12" t="s">
        <v>104</v>
      </c>
      <c r="I108" s="12" t="str">
        <f>FR3_SI!A64</f>
        <v>CR</v>
      </c>
      <c r="J108" s="14" t="str">
        <f>FR3_SI!B64</f>
        <v>3.8</v>
      </c>
      <c r="K108" s="12" t="s">
        <v>105</v>
      </c>
      <c r="N108" s="14">
        <f>FR3_SI!J68</f>
        <v>2</v>
      </c>
    </row>
    <row r="109" spans="1:14" ht="29" x14ac:dyDescent="0.35">
      <c r="A109" s="12">
        <v>115</v>
      </c>
      <c r="B109" s="12" t="str">
        <f t="shared" si="4"/>
        <v>IEC 62443-4-2 - 7.1 CR</v>
      </c>
      <c r="C109" s="15" t="str">
        <f>FR7_RA!D11</f>
        <v>Supported</v>
      </c>
      <c r="D109" s="15" t="str">
        <f>FR7_RA!K10</f>
        <v>MP-01.1
MP-01.2</v>
      </c>
      <c r="E109" s="15" t="str">
        <f>FR7_RA!D10</f>
        <v>Largely covered by DSAC testing</v>
      </c>
      <c r="F109" s="15" t="str">
        <f>FR7_RA!C10</f>
        <v>Components shall provide the capability to maintain essential functions when operating in a degraded mode as the result of a DoS event.</v>
      </c>
      <c r="G109" s="12"/>
      <c r="H109" s="12" t="s">
        <v>104</v>
      </c>
      <c r="I109" s="12" t="str">
        <f>FR7_RA!A9</f>
        <v>CR</v>
      </c>
      <c r="J109" s="14" t="str">
        <f>FR7_RA!B9</f>
        <v>7.1</v>
      </c>
      <c r="K109" s="12" t="s">
        <v>105</v>
      </c>
      <c r="N109" s="14">
        <f>FR7_RA!J11</f>
        <v>1</v>
      </c>
    </row>
    <row r="110" spans="1:14" ht="83.9" customHeight="1" x14ac:dyDescent="0.35">
      <c r="A110" s="12">
        <v>6</v>
      </c>
      <c r="B110" s="12" t="str">
        <f t="shared" si="4"/>
        <v>IEC 62443-4-2 - 1.3 CR</v>
      </c>
      <c r="C110" s="15" t="str">
        <f>FR1_IAC!D26</f>
        <v>Supported with some restrictions/partly needs clarifications</v>
      </c>
      <c r="D110" s="15" t="str">
        <f>FR1_IAC!K25</f>
        <v>MP-02.1
MP-02.2</v>
      </c>
      <c r="E110" s="15" t="str">
        <f>FR1_IAC!D25</f>
        <v>MCSR has a "not" requirement. Improvement would be to write it positive like in 62443: Products should have Account- and Authenticator Management, adding accounts is not an MCSR.
Note: -3-3 requirement is "The control system shall provide the capability to support the management of all accounts by authorized users, including adding, activating, modifying, disabling and removing accounts."
ABB Acceptance: 
FAQ: all accounts: also includes debug/maintenance accounts.
FAQ: all accounts: also includes single admin account with changeable password.
FAQ: if there is no account, then there is nothing to manage</v>
      </c>
      <c r="F110" s="15" t="str">
        <f>FR1_IAC!C25</f>
        <v xml:space="preserve">Components shall provide the capability to support the management of all accounts directly or integrated into a system according to ISA‑62443‑3‑3 SR 1.3
</v>
      </c>
      <c r="G110" s="12"/>
      <c r="H110" s="12" t="s">
        <v>104</v>
      </c>
      <c r="I110" s="14" t="str">
        <f>FR1_IAC!A24</f>
        <v>CR</v>
      </c>
      <c r="J110" s="14" t="str">
        <f>FR1_IAC!B24</f>
        <v>1.3</v>
      </c>
      <c r="K110" s="12" t="s">
        <v>105</v>
      </c>
      <c r="N110" s="14">
        <f>FR1_IAC!J26</f>
        <v>1</v>
      </c>
    </row>
    <row r="111" spans="1:14" ht="43.5" x14ac:dyDescent="0.35">
      <c r="A111" s="12">
        <v>8</v>
      </c>
      <c r="B111" s="12" t="str">
        <f t="shared" si="4"/>
        <v>IEC 62443-4-2 - 1.5 CR</v>
      </c>
      <c r="C111" s="15" t="str">
        <f>FR1_IAC!D35</f>
        <v>Supported with some restrictions/partly needs clarifications</v>
      </c>
      <c r="D111" s="15" t="str">
        <f>FR1_IAC!K31</f>
        <v>MP-02.1
MP-02.2</v>
      </c>
      <c r="E111" s="15" t="str">
        <f>FR1_IAC!D31</f>
        <v>This seems to be equivalent to our requirement that all passwords, keys, etc. (authenticators) shall be changeable.</v>
      </c>
      <c r="F111" s="15" t="str">
        <f>FR1_IAC!C31</f>
        <v xml:space="preserve">Components shall provide the capability to:
a) support the use of initial authenticator content;
</v>
      </c>
      <c r="G111" s="12"/>
      <c r="H111" s="12" t="s">
        <v>104</v>
      </c>
      <c r="I111" s="14" t="str">
        <f>FR1_IAC!A30</f>
        <v>CR</v>
      </c>
      <c r="J111" s="14" t="str">
        <f>FR1_IAC!B30</f>
        <v>1.5</v>
      </c>
      <c r="K111" s="12" t="s">
        <v>105</v>
      </c>
      <c r="N111" s="14">
        <f>FR1_IAC!J35</f>
        <v>1</v>
      </c>
    </row>
    <row r="112" spans="1:14" ht="29" x14ac:dyDescent="0.35">
      <c r="A112" s="12">
        <v>104</v>
      </c>
      <c r="B112" s="12" t="str">
        <f t="shared" si="4"/>
        <v>IEC 62443-4-2 - 4.3 CR</v>
      </c>
      <c r="C112" s="15" t="str">
        <f>FR4_DC!D24</f>
        <v>Supported</v>
      </c>
      <c r="D112" s="15" t="str">
        <f>FR4_DC!K23</f>
        <v>MP-03.1
MP-03.2</v>
      </c>
      <c r="E112" s="15">
        <f>FR4_DC!D23</f>
        <v>0</v>
      </c>
      <c r="F112" s="15" t="str">
        <f>FR4_DC!C23</f>
        <v>If cryptography is required, the component shall use cryptographic security mechanisms according to internationally recognized and proven security practices and recommendations.</v>
      </c>
      <c r="G112" s="12"/>
      <c r="H112" s="12" t="s">
        <v>104</v>
      </c>
      <c r="I112" s="12" t="str">
        <f>FR4_DC!A22</f>
        <v>CR</v>
      </c>
      <c r="J112" s="14" t="str">
        <f>FR4_DC!B22</f>
        <v>4.3</v>
      </c>
      <c r="K112" s="12" t="s">
        <v>105</v>
      </c>
      <c r="N112" s="14">
        <f>FR4_DC!J24</f>
        <v>1</v>
      </c>
    </row>
    <row r="113" spans="1:14" ht="29" x14ac:dyDescent="0.35">
      <c r="A113" s="12">
        <v>52</v>
      </c>
      <c r="B113" s="12" t="str">
        <f t="shared" si="4"/>
        <v>IEC 62443-4-2 - 2.13 EDR</v>
      </c>
      <c r="C113" s="15" t="str">
        <f>FR2_UC!D94</f>
        <v>Supported</v>
      </c>
      <c r="D113" s="15" t="str">
        <f>FR2_UC!K93</f>
        <v>MP-04.1</v>
      </c>
      <c r="E113" s="15" t="str">
        <f>FR2_UC!D93</f>
        <v>MCSR 1.0 is more strict as to not allow debugging interfaces at all, also software debugging symbols are included in MCSR 1.0</v>
      </c>
      <c r="F113" s="15" t="str">
        <f>FR2_UC!C93</f>
        <v>Embedded devices shall prevent unauthorized use of the physical factory diagnostic and test interface(s) (e.g. JTAG Debugging).</v>
      </c>
      <c r="G113" s="12"/>
      <c r="H113" s="12" t="s">
        <v>104</v>
      </c>
      <c r="I113" s="12" t="str">
        <f>FR2_UC!A92</f>
        <v>EDR</v>
      </c>
      <c r="J113" s="14" t="str">
        <f>FR2_UC!B92</f>
        <v>2.13</v>
      </c>
      <c r="K113" s="12" t="s">
        <v>105</v>
      </c>
      <c r="N113" s="14">
        <f>FR2_UC!J94</f>
        <v>2</v>
      </c>
    </row>
    <row r="114" spans="1:14" ht="43.5" x14ac:dyDescent="0.35">
      <c r="A114" s="12">
        <v>124</v>
      </c>
      <c r="B114" s="12" t="str">
        <f t="shared" si="4"/>
        <v>IEC 62443-4-2 - 7.7 CR</v>
      </c>
      <c r="C114" s="15" t="str">
        <f>FR7_RA!D39</f>
        <v>Supported</v>
      </c>
      <c r="D114" s="15" t="str">
        <f>FR7_RA!K38</f>
        <v>MP-04.1
MP-04.2
MP-04.3</v>
      </c>
      <c r="E114" s="15">
        <f>FR7_RA!D38</f>
        <v>0</v>
      </c>
      <c r="F114" s="15" t="str">
        <f>FR7_RA!C38</f>
        <v>Components shall provide the capability to specifically restrict the use of unnecessary functions, ports, protocols and/or services.</v>
      </c>
      <c r="H114" s="12" t="s">
        <v>104</v>
      </c>
      <c r="I114" s="12" t="str">
        <f>FR7_RA!A37</f>
        <v>CR</v>
      </c>
      <c r="J114" s="14" t="str">
        <f>FR7_RA!B37</f>
        <v>7.7</v>
      </c>
      <c r="K114" s="12" t="s">
        <v>105</v>
      </c>
      <c r="N114" s="14">
        <f>FR7_RA!J39</f>
        <v>1</v>
      </c>
    </row>
    <row r="115" spans="1:14" ht="145" x14ac:dyDescent="0.35">
      <c r="A115" s="12">
        <v>34</v>
      </c>
      <c r="B115" s="12" t="str">
        <f t="shared" si="4"/>
        <v>IEC 62443-4-2 - 2.4 EDR</v>
      </c>
      <c r="C115" s="15" t="str">
        <f>FR2_UC!D40</f>
        <v>Supported with some restrictions/partly needs clarifications</v>
      </c>
      <c r="D115" s="15">
        <f>FR2_UC!K37</f>
        <v>0</v>
      </c>
      <c r="E115" s="15" t="str">
        <f>FR2_UC!D37</f>
        <v xml:space="preserve">MCSR MP-5.1 is concentrating on Windows Malware scanning. This EDR 2.4 is more appropriate for Embedded devices.
Definition from 62443:
3.1.29 mobile code
program transferred between assets that can be executed without explicit installation by the
recipient
EXAMPLE JavaScript, VBScript, Java applets, ActiveX controls, Flash animations, Shockwave movies, and
Microsoft Office macros. </v>
      </c>
      <c r="F115" s="15" t="str">
        <f>FR2_UC!C37</f>
        <v>In the event that an embedded device utilizes mobile code technologies, the embedded device shall provide the capability to enforce a security policy for the usage of mobile code technologies.  The security policy shall allow, at a minimum, the following actions for each mobile code technology used on the embedded device:
a) Control execution of mobile code;</v>
      </c>
      <c r="G115" s="12"/>
      <c r="H115" s="12" t="s">
        <v>104</v>
      </c>
      <c r="I115" s="12" t="str">
        <f>FR2_UC!A36</f>
        <v>EDR</v>
      </c>
      <c r="J115" s="14" t="str">
        <f>FR2_UC!B36</f>
        <v>2.4</v>
      </c>
      <c r="K115" s="12" t="s">
        <v>105</v>
      </c>
      <c r="N115" s="14">
        <f>FR2_UC!J40</f>
        <v>1</v>
      </c>
    </row>
    <row r="116" spans="1:14" ht="43.5" x14ac:dyDescent="0.35">
      <c r="A116" s="12">
        <v>61</v>
      </c>
      <c r="B116" s="12" t="str">
        <f t="shared" si="4"/>
        <v>IEC 62443-4-2 - 3.2  EDR</v>
      </c>
      <c r="C116" s="15" t="str">
        <f>FR3_SI!D20</f>
        <v>Supported with some restrictions/partly needs clarifications</v>
      </c>
      <c r="D116" s="15">
        <f>FR3_SI!K19</f>
        <v>0</v>
      </c>
      <c r="E116" s="15" t="str">
        <f>FR3_SI!D19</f>
        <v>MCSR for products just require scanning of SW packages
Malware scanning is different from authorization of software to be executed!</v>
      </c>
      <c r="F116" s="15" t="str">
        <f>FR3_SI!C19</f>
        <v>The embedded device shall provide the capability to protect from installation and execution of unauthorized software.</v>
      </c>
      <c r="G116" s="12"/>
      <c r="H116" s="12" t="s">
        <v>104</v>
      </c>
      <c r="I116" s="12" t="str">
        <f>FR3_SI!A18</f>
        <v>EDR</v>
      </c>
      <c r="J116" s="14" t="str">
        <f>FR3_SI!B18</f>
        <v xml:space="preserve">3.2 </v>
      </c>
      <c r="K116" s="12" t="s">
        <v>105</v>
      </c>
      <c r="N116" s="14">
        <f>FR3_SI!J20</f>
        <v>1</v>
      </c>
    </row>
    <row r="117" spans="1:14" ht="43.5" x14ac:dyDescent="0.35">
      <c r="A117" s="12">
        <v>88</v>
      </c>
      <c r="B117" s="12" t="str">
        <f t="shared" si="4"/>
        <v>IEC 62443-4-2 - 3.12 EDR</v>
      </c>
      <c r="C117" s="15" t="str">
        <f>FR3_SI!D113</f>
        <v>Supported with some restrictions/partly needs clarifications</v>
      </c>
      <c r="D117" s="15" t="str">
        <f>FR3_SI!K112</f>
        <v>IfS</v>
      </c>
      <c r="E117" s="15" t="str">
        <f>FR3_SI!D112</f>
        <v>MCSR does not require a supplier root of trust, like 802.1 AR (IDevID)
Only required for Internet-facing according to MCSR1.0</v>
      </c>
      <c r="F117" s="15" t="str">
        <f>FR3_SI!C112</f>
        <v xml:space="preserve">Embedded devices shall provide the capability to provision and protect the confidentiality, integrity, and authenticity of product supplier keys and data to be used as one or more “roots of trust” at the time of manufacture of the device. </v>
      </c>
      <c r="G117" s="12"/>
      <c r="H117" s="12" t="s">
        <v>104</v>
      </c>
      <c r="I117" s="12" t="str">
        <f>FR3_SI!A111</f>
        <v>EDR</v>
      </c>
      <c r="J117" s="14" t="str">
        <f>FR3_SI!B111</f>
        <v>3.12</v>
      </c>
      <c r="K117" s="12" t="s">
        <v>105</v>
      </c>
      <c r="N117" s="14">
        <f>FR3_SI!J113</f>
        <v>2</v>
      </c>
    </row>
    <row r="118" spans="1:14" ht="43.5" x14ac:dyDescent="0.35">
      <c r="A118" s="12">
        <v>76</v>
      </c>
      <c r="B118" s="12" t="str">
        <f t="shared" si="4"/>
        <v>IEC 62443-4-2 - 3.10 EDR</v>
      </c>
      <c r="C118" s="15" t="str">
        <f>FR3_SI!D77</f>
        <v>Supported</v>
      </c>
      <c r="D118" s="15" t="str">
        <f>FR3_SI!K76</f>
        <v>MP-09.1
MP-09.2
MP-13.1</v>
      </c>
      <c r="E118" s="15">
        <f>FR3_SI!D76</f>
        <v>0</v>
      </c>
      <c r="F118" s="15" t="str">
        <f>FR3_SI!C76</f>
        <v>The embedded device shall support the ability to be updated and upgraded.</v>
      </c>
      <c r="G118" s="12"/>
      <c r="H118" s="12" t="s">
        <v>104</v>
      </c>
      <c r="I118" s="12" t="str">
        <f>FR3_SI!A75</f>
        <v>EDR</v>
      </c>
      <c r="J118" s="14" t="str">
        <f>FR3_SI!B75</f>
        <v>3.10</v>
      </c>
      <c r="K118" s="12" t="s">
        <v>105</v>
      </c>
      <c r="N118" s="14">
        <f>FR3_SI!J77</f>
        <v>1</v>
      </c>
    </row>
    <row r="119" spans="1:14" ht="43.5" x14ac:dyDescent="0.35">
      <c r="A119" s="12">
        <v>77</v>
      </c>
      <c r="B119" s="12" t="str">
        <f t="shared" si="4"/>
        <v>IEC 62443-4-2 - 3.10.1 EDR RE</v>
      </c>
      <c r="C119" s="15" t="str">
        <f>FR3_SI!D80</f>
        <v>Supported with some restrictions/partly needs clarifications</v>
      </c>
      <c r="D119" s="15" t="str">
        <f>FR3_SI!K79</f>
        <v>MP-09.1
MP-09.2
MP-13.1</v>
      </c>
      <c r="E119" s="15" t="str">
        <f>FR3_SI!D79</f>
        <v>MCSR would allow to provide a hash code to provide integrity and authenticity(provided the hash code was downloaded from ABB.com)</v>
      </c>
      <c r="F119" s="15" t="str">
        <f>FR3_SI!C79</f>
        <v>The embedded device shall validate the authenticity and integrity of any software update or upgrade prior to installation.</v>
      </c>
      <c r="G119" s="12"/>
      <c r="H119" s="12" t="s">
        <v>104</v>
      </c>
      <c r="I119" s="12" t="str">
        <f>FR3_SI!A78</f>
        <v>EDR RE</v>
      </c>
      <c r="J119" s="14" t="str">
        <f>FR3_SI!B78</f>
        <v>3.10.1</v>
      </c>
      <c r="K119" s="12" t="s">
        <v>105</v>
      </c>
      <c r="N119" s="14">
        <f>FR3_SI!J80</f>
        <v>2</v>
      </c>
    </row>
    <row r="120" spans="1:14" ht="43.5" x14ac:dyDescent="0.35">
      <c r="A120" s="12">
        <v>35</v>
      </c>
      <c r="B120" s="12" t="str">
        <f t="shared" si="4"/>
        <v>IEC 62443-4-2 - 2.4.1 EDR RE</v>
      </c>
      <c r="C120" s="15" t="str">
        <f>FR2_UC!D43</f>
        <v>Supported with some restrictions/partly needs clarifications</v>
      </c>
      <c r="D120" s="15">
        <f>FR2_UC!K42</f>
        <v>0</v>
      </c>
      <c r="E120" s="15">
        <f>FR2_UC!D42</f>
        <v>0</v>
      </c>
      <c r="F120" s="15" t="str">
        <f>FR2_UC!C42</f>
        <v>The embedded device shall provide the capability to enforce a security policy that allows the device to control execution of mobile code based on the results of an authenticity check prior to the code being executed</v>
      </c>
      <c r="G120" s="12"/>
      <c r="H120" s="12" t="s">
        <v>104</v>
      </c>
      <c r="I120" s="12" t="str">
        <f>FR2_UC!A41</f>
        <v>EDR RE</v>
      </c>
      <c r="J120" s="14" t="str">
        <f>FR2_UC!B41</f>
        <v>2.4.1</v>
      </c>
      <c r="K120" s="12" t="s">
        <v>105</v>
      </c>
      <c r="N120" s="14">
        <f>FR2_UC!J43</f>
        <v>2</v>
      </c>
    </row>
    <row r="121" spans="1:14" ht="58" x14ac:dyDescent="0.35">
      <c r="A121" s="12">
        <v>67</v>
      </c>
      <c r="B121" s="12" t="str">
        <f t="shared" si="4"/>
        <v>IEC 62443-4-2 - 3.4 CR</v>
      </c>
      <c r="C121" s="15" t="str">
        <f>FR3_SI!D43</f>
        <v>Supported</v>
      </c>
      <c r="D121" s="15" t="str">
        <f>FR3_SI!K37</f>
        <v>MP-13.2</v>
      </c>
      <c r="E121" s="15" t="str">
        <f>FR3_SI!D37</f>
        <v>MCSR MP-13.2 focuses on software packages, does not address "configuration and other information" and does not require reporting. Software must include updates as well.
MP-7 is on documentation.</v>
      </c>
      <c r="F121" s="15" t="e">
        <f>FR3_SI!#REF!</f>
        <v>#REF!</v>
      </c>
      <c r="G121" s="12"/>
      <c r="H121" s="12" t="s">
        <v>104</v>
      </c>
      <c r="I121" s="12" t="str">
        <f>FR3_SI!A36</f>
        <v>CR</v>
      </c>
      <c r="J121" s="14" t="str">
        <f>FR3_SI!B36</f>
        <v>3.4</v>
      </c>
      <c r="K121" s="12" t="s">
        <v>105</v>
      </c>
      <c r="N121" s="14">
        <f>FR3_SI!J43</f>
        <v>1</v>
      </c>
    </row>
    <row r="122" spans="1:14" x14ac:dyDescent="0.35">
      <c r="A122" s="12">
        <v>68</v>
      </c>
      <c r="B122" s="12" t="str">
        <f t="shared" si="4"/>
        <v>IEC 62443-4-2 - 3.4.1 CR RE</v>
      </c>
      <c r="C122" s="15" t="str">
        <f>FR3_SI!D51</f>
        <v>Supported</v>
      </c>
      <c r="D122" s="15" t="e">
        <f>FR3_SI!#REF!</f>
        <v>#REF!</v>
      </c>
      <c r="E122" s="15" t="e">
        <f>FR3_SI!#REF!</f>
        <v>#REF!</v>
      </c>
      <c r="F122" s="15" t="e">
        <f>FR3_SI!#REF!</f>
        <v>#REF!</v>
      </c>
      <c r="H122" s="12" t="s">
        <v>104</v>
      </c>
      <c r="I122" s="12" t="str">
        <f>FR3_SI!A44</f>
        <v>CR RE</v>
      </c>
      <c r="J122" s="14" t="str">
        <f>FR3_SI!B44</f>
        <v>3.4.1</v>
      </c>
      <c r="K122" s="12" t="s">
        <v>105</v>
      </c>
      <c r="N122" s="14">
        <f>FR3_SI!J51</f>
        <v>2</v>
      </c>
    </row>
    <row r="123" spans="1:14" x14ac:dyDescent="0.35">
      <c r="A123" s="12">
        <v>58</v>
      </c>
      <c r="B123" s="12" t="str">
        <f t="shared" si="4"/>
        <v>IEC 62443-4-2 - 3.1 CR</v>
      </c>
      <c r="C123" s="15" t="str">
        <f>FR3_SI!D11</f>
        <v>Supported</v>
      </c>
      <c r="D123" s="15" t="str">
        <f>FR3_SI!K10</f>
        <v>MP-15.1</v>
      </c>
      <c r="E123" s="15">
        <f>FR3_SI!D10</f>
        <v>0</v>
      </c>
      <c r="F123" s="15" t="str">
        <f>FR3_SI!C10</f>
        <v>Components shall provide the capability to protect integrity of transmitted information.</v>
      </c>
      <c r="G123" s="12"/>
      <c r="H123" s="12" t="s">
        <v>104</v>
      </c>
      <c r="I123" s="12" t="str">
        <f>FR3_SI!A9</f>
        <v>CR</v>
      </c>
      <c r="J123" s="14" t="str">
        <f>FR3_SI!B9</f>
        <v>3.1</v>
      </c>
      <c r="K123" s="12" t="s">
        <v>105</v>
      </c>
      <c r="N123" s="14">
        <f>FR3_SI!J11</f>
        <v>1</v>
      </c>
    </row>
    <row r="124" spans="1:14" ht="43.5" x14ac:dyDescent="0.35">
      <c r="A124" s="12">
        <v>100</v>
      </c>
      <c r="B124" s="12" t="str">
        <f t="shared" si="4"/>
        <v>IEC 62443-4-2 - 4.1 CR</v>
      </c>
      <c r="C124" s="15" t="str">
        <f>FR4_DC!D12</f>
        <v>Supported with some restrictions/partly needs clarifications</v>
      </c>
      <c r="D124" s="15" t="str">
        <f>FR4_DC!K10</f>
        <v>IfS MIFP-RE.4</v>
      </c>
      <c r="E124" s="15" t="str">
        <f>FR4_DC!D10</f>
        <v>MCSR for products only covers b, MCSR IFS also cover In Transit, at rest and in use.</v>
      </c>
      <c r="F124" s="15" t="str">
        <f>FR4_DC!C10</f>
        <v>Components shall 
a) provide the capability to protect the confidentiality of information at rest for which explicit read authorization is supported</v>
      </c>
      <c r="G124" s="12"/>
      <c r="H124" s="12" t="s">
        <v>104</v>
      </c>
      <c r="I124" s="12" t="str">
        <f>FR4_DC!A9</f>
        <v>CR</v>
      </c>
      <c r="J124" s="14" t="str">
        <f>FR4_DC!B9</f>
        <v>4.1</v>
      </c>
      <c r="K124" s="12" t="s">
        <v>105</v>
      </c>
      <c r="N124" s="14">
        <f>FR4_DC!J12</f>
        <v>1</v>
      </c>
    </row>
    <row r="125" spans="1:14" ht="43.5" x14ac:dyDescent="0.35">
      <c r="A125" s="12">
        <v>91</v>
      </c>
      <c r="B125" s="12" t="str">
        <f t="shared" si="4"/>
        <v>IEC 62443-4-2 - 3.13 EDR</v>
      </c>
      <c r="C125" s="15" t="str">
        <f>FR3_SI!D123</f>
        <v>Supported with some restrictions/partly needs clarifications</v>
      </c>
      <c r="D125" s="15" t="str">
        <f>FR3_SI!K121</f>
        <v>Ifs</v>
      </c>
      <c r="E125" s="15">
        <f>FR3_SI!D121</f>
        <v>0</v>
      </c>
      <c r="F125" s="15" t="str">
        <f>FR3_SI!C121</f>
        <v>Embedded devices shall 
a) provide the capability to provision and protect the confidentiality, integrity, and authenticity of asset owner keys and data to be used as “roots of trust”</v>
      </c>
      <c r="G125" s="12"/>
      <c r="H125" s="12" t="s">
        <v>104</v>
      </c>
      <c r="I125" s="12" t="str">
        <f>FR3_SI!A120</f>
        <v>EDR</v>
      </c>
      <c r="J125" s="14" t="str">
        <f>FR3_SI!B120</f>
        <v>3.13</v>
      </c>
      <c r="K125" s="12" t="s">
        <v>105</v>
      </c>
      <c r="N125" s="14">
        <f>FR3_SI!J123</f>
        <v>2</v>
      </c>
    </row>
    <row r="126" spans="1:14" ht="43.5" x14ac:dyDescent="0.35">
      <c r="A126" s="12">
        <v>94</v>
      </c>
      <c r="B126" s="12" t="str">
        <f t="shared" si="4"/>
        <v>IEC 62443-4-2 - 3.14 EDR</v>
      </c>
      <c r="C126" s="15" t="str">
        <f>FR3_SI!D136</f>
        <v>Supported with some restrictions/partly needs clarifications</v>
      </c>
      <c r="D126" s="15" t="str">
        <f>FR3_SI!K133</f>
        <v>IfS</v>
      </c>
      <c r="E126" s="15" t="str">
        <f>FR3_SI!D133</f>
        <v>MCSR does not require secure boot for non Internet facing Solutions which is prerequisit for supplier root of trust</v>
      </c>
      <c r="F126" s="15" t="str">
        <f>FR3_SI!C133</f>
        <v>Embedded devices shall verify the integrity of the firmware needed for the component’s boot and runtime processes prior to use.</v>
      </c>
      <c r="G126" s="12"/>
      <c r="H126" s="12" t="s">
        <v>104</v>
      </c>
      <c r="I126" s="12" t="str">
        <f>FR3_SI!A132</f>
        <v>EDR</v>
      </c>
      <c r="J126" s="14" t="str">
        <f>FR3_SI!B132</f>
        <v>3.14</v>
      </c>
      <c r="K126" s="12" t="s">
        <v>105</v>
      </c>
      <c r="N126" s="14">
        <f>FR3_SI!J136</f>
        <v>1</v>
      </c>
    </row>
  </sheetData>
  <autoFilter ref="A1:N126" xr:uid="{9BC989E8-5902-4151-BC1B-1AD591CDD50A}">
    <filterColumn colId="3">
      <filters>
        <filter val="MP-01.1"/>
        <filter val="MP-01.1_x000a_MP-01.2"/>
        <filter val="MP-02.1_x000a_MP-02.2"/>
        <filter val="MP-03.1_x000a_MP-03.2"/>
        <filter val="MP-04.1"/>
        <filter val="MP-04.1_x000a_MP-04.2_x000a_MP-04.3"/>
        <filter val="MP-05.1"/>
        <filter val="MP-05.1_x000a_MP-13.1"/>
        <filter val="MP-09.1_x000a_MP-09.2_x000a_MP-13.1"/>
        <filter val="MP-13.1"/>
        <filter val="MP-13.2"/>
        <filter val="MP-15.1"/>
        <filter val="MP-5.1_x000a_MP-13.1"/>
      </filters>
    </filterColumn>
    <sortState xmlns:xlrd2="http://schemas.microsoft.com/office/spreadsheetml/2017/richdata2" ref="A106:N126">
      <sortCondition ref="D1:D126"/>
    </sortState>
  </autoFilter>
  <sortState xmlns:xlrd2="http://schemas.microsoft.com/office/spreadsheetml/2017/richdata2" ref="A2:N126">
    <sortCondition ref="A2:A126"/>
  </sortState>
  <pageMargins left="0.7" right="0.7" top="0.75" bottom="0.75" header="0.3" footer="0.3"/>
  <pageSetup paperSize="9" orientation="portrait"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52982-90AE-43B7-844A-212391038425}">
  <dimension ref="A1:N176"/>
  <sheetViews>
    <sheetView tabSelected="1" zoomScale="85" zoomScaleNormal="85" zoomScaleSheetLayoutView="90" workbookViewId="0">
      <pane xSplit="3" ySplit="1" topLeftCell="G2" activePane="bottomRight" state="frozen"/>
      <selection pane="topRight" activeCell="D1" sqref="D1"/>
      <selection pane="bottomLeft" activeCell="A2" sqref="A2"/>
      <selection pane="bottomRight" activeCell="N2" sqref="N2"/>
    </sheetView>
  </sheetViews>
  <sheetFormatPr defaultColWidth="9.36328125" defaultRowHeight="14.5" outlineLevelCol="1" x14ac:dyDescent="0.35"/>
  <cols>
    <col min="1" max="1" width="11.453125" style="14" customWidth="1"/>
    <col min="2" max="2" width="13.6328125" style="107" customWidth="1"/>
    <col min="3" max="3" width="70.54296875" style="15" customWidth="1"/>
    <col min="4" max="4" width="84.453125" style="15" customWidth="1"/>
    <col min="5" max="5" width="56.36328125" style="15" customWidth="1"/>
    <col min="6" max="6" width="27.6328125" customWidth="1"/>
    <col min="7" max="7" width="43.453125" style="15" customWidth="1"/>
    <col min="8" max="8" width="27.36328125" style="14" customWidth="1"/>
    <col min="9" max="9" width="29.36328125" style="14" customWidth="1"/>
    <col min="10" max="10" width="24.36328125" style="14" bestFit="1" customWidth="1"/>
    <col min="11" max="11" width="15.36328125" customWidth="1"/>
    <col min="12" max="12" width="14.36328125" hidden="1" customWidth="1" outlineLevel="1"/>
    <col min="13" max="13" width="13.36328125" style="105" hidden="1" customWidth="1" outlineLevel="1"/>
    <col min="14" max="14" width="24.6328125" style="103" customWidth="1" collapsed="1"/>
    <col min="15" max="16384" width="9.36328125" style="2"/>
  </cols>
  <sheetData>
    <row r="1" spans="1:14" ht="32.25" customHeight="1" x14ac:dyDescent="0.35">
      <c r="A1" s="15" t="s">
        <v>186</v>
      </c>
      <c r="B1" s="107" t="s">
        <v>86</v>
      </c>
      <c r="C1" s="15" t="s">
        <v>184</v>
      </c>
      <c r="D1" s="15" t="s">
        <v>187</v>
      </c>
      <c r="E1" s="15" t="s">
        <v>918</v>
      </c>
      <c r="F1" s="15" t="s">
        <v>919</v>
      </c>
      <c r="G1" s="15" t="s">
        <v>188</v>
      </c>
      <c r="H1" s="15" t="s">
        <v>189</v>
      </c>
      <c r="I1" s="15" t="s">
        <v>190</v>
      </c>
      <c r="J1" s="108" t="s">
        <v>191</v>
      </c>
      <c r="K1" s="15" t="s">
        <v>192</v>
      </c>
      <c r="L1" s="113" t="s">
        <v>193</v>
      </c>
      <c r="M1" s="15" t="s">
        <v>194</v>
      </c>
      <c r="N1" s="2"/>
    </row>
    <row r="2" spans="1:14" ht="180" customHeight="1" x14ac:dyDescent="0.35">
      <c r="A2" s="14" t="s">
        <v>935</v>
      </c>
      <c r="B2" s="126" t="s">
        <v>200</v>
      </c>
      <c r="C2" s="66" t="s">
        <v>937</v>
      </c>
      <c r="D2" s="15" t="s">
        <v>938</v>
      </c>
      <c r="E2" s="114" t="s">
        <v>936</v>
      </c>
      <c r="F2" s="114"/>
      <c r="G2" s="114"/>
      <c r="H2" s="114"/>
      <c r="I2" s="114"/>
      <c r="J2" s="78" t="s">
        <v>940</v>
      </c>
      <c r="K2" s="15" t="s">
        <v>939</v>
      </c>
      <c r="L2" s="103"/>
      <c r="M2" s="15"/>
      <c r="N2" s="2"/>
    </row>
    <row r="3" spans="1:14" ht="145" x14ac:dyDescent="0.35">
      <c r="A3" s="15" t="s">
        <v>935</v>
      </c>
      <c r="B3" s="106">
        <v>2</v>
      </c>
      <c r="C3" s="15" t="s">
        <v>941</v>
      </c>
      <c r="D3" s="15" t="s">
        <v>942</v>
      </c>
      <c r="E3" s="128" t="s">
        <v>943</v>
      </c>
      <c r="F3" s="114"/>
      <c r="G3" s="114"/>
      <c r="H3" s="114"/>
      <c r="I3" s="114"/>
      <c r="J3" s="107" t="s">
        <v>202</v>
      </c>
      <c r="K3" s="15" t="s">
        <v>939</v>
      </c>
      <c r="L3" s="15"/>
      <c r="M3" s="15"/>
      <c r="N3" s="2"/>
    </row>
    <row r="4" spans="1:14" ht="362.5" x14ac:dyDescent="0.35">
      <c r="A4" s="15" t="s">
        <v>927</v>
      </c>
      <c r="B4" s="106">
        <v>1</v>
      </c>
      <c r="C4" s="15" t="s">
        <v>928</v>
      </c>
      <c r="D4" s="15" t="s">
        <v>929</v>
      </c>
      <c r="E4" s="15" t="s">
        <v>930</v>
      </c>
      <c r="F4" s="114"/>
      <c r="G4" s="114"/>
      <c r="H4" s="114"/>
      <c r="I4" s="114"/>
      <c r="J4" s="78" t="s">
        <v>185</v>
      </c>
      <c r="K4" s="15" t="s">
        <v>203</v>
      </c>
      <c r="L4" s="103"/>
      <c r="M4" s="15"/>
      <c r="N4" s="2"/>
    </row>
    <row r="5" spans="1:14" ht="130.5" x14ac:dyDescent="0.35">
      <c r="A5" s="14" t="s">
        <v>931</v>
      </c>
      <c r="B5" s="124" t="s">
        <v>198</v>
      </c>
      <c r="C5" s="125" t="s">
        <v>932</v>
      </c>
      <c r="D5" s="15" t="s">
        <v>933</v>
      </c>
      <c r="E5" s="114" t="s">
        <v>934</v>
      </c>
      <c r="F5" s="123"/>
      <c r="G5" s="123"/>
      <c r="H5" s="114"/>
      <c r="I5" s="123"/>
      <c r="J5" s="107">
        <f>MIN(M5:M5)</f>
        <v>0</v>
      </c>
      <c r="K5" s="15"/>
      <c r="L5" s="103"/>
      <c r="M5" s="15"/>
      <c r="N5" s="2"/>
    </row>
    <row r="6" spans="1:14" ht="188.5" x14ac:dyDescent="0.35">
      <c r="A6" s="14" t="s">
        <v>212</v>
      </c>
      <c r="B6" s="15" t="s">
        <v>195</v>
      </c>
      <c r="C6" s="15" t="s">
        <v>213</v>
      </c>
      <c r="D6" s="15" t="s">
        <v>214</v>
      </c>
      <c r="E6" s="15" t="s">
        <v>215</v>
      </c>
      <c r="F6" s="114"/>
      <c r="G6" s="114"/>
      <c r="H6" s="114"/>
      <c r="I6" s="114"/>
      <c r="J6" s="15" t="s">
        <v>185</v>
      </c>
      <c r="K6" s="15" t="s">
        <v>203</v>
      </c>
      <c r="L6" s="15" t="s">
        <v>220</v>
      </c>
      <c r="M6" s="5" t="s">
        <v>216</v>
      </c>
      <c r="N6" s="2"/>
    </row>
    <row r="7" spans="1:14" ht="174" x14ac:dyDescent="0.35">
      <c r="A7" s="15" t="s">
        <v>212</v>
      </c>
      <c r="B7" s="15" t="s">
        <v>197</v>
      </c>
      <c r="C7" s="15" t="s">
        <v>217</v>
      </c>
      <c r="D7" s="15" t="s">
        <v>218</v>
      </c>
      <c r="E7" s="15" t="s">
        <v>219</v>
      </c>
      <c r="F7" s="114"/>
      <c r="G7" s="114"/>
      <c r="H7" s="114"/>
      <c r="I7" s="114"/>
      <c r="J7" s="15" t="s">
        <v>185</v>
      </c>
      <c r="K7" s="15" t="s">
        <v>203</v>
      </c>
      <c r="L7" s="15" t="s">
        <v>223</v>
      </c>
      <c r="M7" s="15" t="s">
        <v>216</v>
      </c>
      <c r="N7" s="2"/>
    </row>
    <row r="8" spans="1:14" ht="188.5" x14ac:dyDescent="0.35">
      <c r="A8" s="15" t="s">
        <v>212</v>
      </c>
      <c r="B8" s="15" t="s">
        <v>199</v>
      </c>
      <c r="C8" s="15" t="s">
        <v>221</v>
      </c>
      <c r="D8" s="15" t="s">
        <v>214</v>
      </c>
      <c r="E8" s="15" t="s">
        <v>222</v>
      </c>
      <c r="F8" s="114"/>
      <c r="G8" s="114"/>
      <c r="H8" s="114"/>
      <c r="I8" s="114"/>
      <c r="J8" s="15" t="s">
        <v>185</v>
      </c>
      <c r="K8" s="15" t="s">
        <v>203</v>
      </c>
      <c r="L8" s="15" t="s">
        <v>227</v>
      </c>
      <c r="M8" s="5" t="s">
        <v>216</v>
      </c>
      <c r="N8" s="2"/>
    </row>
    <row r="9" spans="1:14" ht="43.5" x14ac:dyDescent="0.35">
      <c r="A9" s="15" t="s">
        <v>204</v>
      </c>
      <c r="B9" s="15" t="s">
        <v>224</v>
      </c>
      <c r="C9" s="15" t="s">
        <v>225</v>
      </c>
      <c r="E9" s="112" t="s">
        <v>226</v>
      </c>
      <c r="F9" s="114"/>
      <c r="G9" s="114"/>
      <c r="H9" s="114"/>
      <c r="I9" s="114"/>
      <c r="J9" s="15" t="s">
        <v>185</v>
      </c>
      <c r="K9" s="15" t="s">
        <v>203</v>
      </c>
      <c r="L9" s="15" t="s">
        <v>232</v>
      </c>
      <c r="M9" s="109" t="s">
        <v>228</v>
      </c>
      <c r="N9" s="2"/>
    </row>
    <row r="10" spans="1:14" ht="116" x14ac:dyDescent="0.35">
      <c r="A10" s="15" t="s">
        <v>212</v>
      </c>
      <c r="B10" s="106">
        <v>2</v>
      </c>
      <c r="C10" s="15" t="s">
        <v>229</v>
      </c>
      <c r="D10" s="15" t="s">
        <v>230</v>
      </c>
      <c r="E10" s="15" t="s">
        <v>231</v>
      </c>
      <c r="F10" s="114"/>
      <c r="G10" s="114"/>
      <c r="H10" s="114"/>
      <c r="I10" s="114"/>
      <c r="J10" s="78" t="s">
        <v>185</v>
      </c>
      <c r="K10" s="15" t="s">
        <v>203</v>
      </c>
      <c r="L10" s="15" t="s">
        <v>238</v>
      </c>
      <c r="M10" s="5" t="s">
        <v>233</v>
      </c>
      <c r="N10" s="2"/>
    </row>
    <row r="11" spans="1:14" ht="145" x14ac:dyDescent="0.35">
      <c r="A11" s="15" t="s">
        <v>212</v>
      </c>
      <c r="B11" s="15" t="s">
        <v>234</v>
      </c>
      <c r="C11" s="15" t="s">
        <v>235</v>
      </c>
      <c r="D11" s="15" t="s">
        <v>236</v>
      </c>
      <c r="E11" s="15" t="s">
        <v>237</v>
      </c>
      <c r="F11" s="114"/>
      <c r="G11" s="114"/>
      <c r="H11" s="114"/>
      <c r="I11" s="114"/>
      <c r="J11" s="15" t="s">
        <v>185</v>
      </c>
      <c r="K11" s="15" t="s">
        <v>203</v>
      </c>
      <c r="L11" s="15" t="s">
        <v>243</v>
      </c>
      <c r="M11" s="15" t="s">
        <v>239</v>
      </c>
      <c r="N11" s="2"/>
    </row>
    <row r="12" spans="1:14" ht="145" x14ac:dyDescent="0.35">
      <c r="A12" s="15" t="s">
        <v>212</v>
      </c>
      <c r="B12" s="15" t="s">
        <v>240</v>
      </c>
      <c r="C12" s="15" t="s">
        <v>241</v>
      </c>
      <c r="D12" s="15" t="s">
        <v>236</v>
      </c>
      <c r="E12" s="15" t="s">
        <v>242</v>
      </c>
      <c r="F12" s="114"/>
      <c r="G12" s="114"/>
      <c r="H12" s="114"/>
      <c r="I12" s="114"/>
      <c r="J12" s="15" t="s">
        <v>185</v>
      </c>
      <c r="K12" s="15" t="s">
        <v>203</v>
      </c>
      <c r="L12" s="15" t="s">
        <v>248</v>
      </c>
      <c r="M12" s="15" t="s">
        <v>244</v>
      </c>
      <c r="N12" s="2"/>
    </row>
    <row r="13" spans="1:14" ht="145" x14ac:dyDescent="0.35">
      <c r="A13" s="15" t="s">
        <v>212</v>
      </c>
      <c r="B13" s="15" t="s">
        <v>245</v>
      </c>
      <c r="C13" s="15" t="s">
        <v>246</v>
      </c>
      <c r="D13" s="15" t="s">
        <v>236</v>
      </c>
      <c r="E13" s="15" t="s">
        <v>247</v>
      </c>
      <c r="F13" s="114"/>
      <c r="G13" s="114"/>
      <c r="H13" s="114"/>
      <c r="I13" s="114"/>
      <c r="J13" s="15" t="s">
        <v>185</v>
      </c>
      <c r="K13" s="15" t="s">
        <v>203</v>
      </c>
      <c r="L13" s="15" t="s">
        <v>253</v>
      </c>
      <c r="M13" s="15" t="s">
        <v>249</v>
      </c>
      <c r="N13" s="2"/>
    </row>
    <row r="14" spans="1:14" ht="159.5" x14ac:dyDescent="0.35">
      <c r="A14" s="15" t="s">
        <v>212</v>
      </c>
      <c r="B14" s="15" t="s">
        <v>250</v>
      </c>
      <c r="C14" s="15" t="s">
        <v>251</v>
      </c>
      <c r="D14" s="15" t="s">
        <v>236</v>
      </c>
      <c r="E14" s="15" t="s">
        <v>252</v>
      </c>
      <c r="F14" s="114"/>
      <c r="G14" s="114"/>
      <c r="H14" s="114"/>
      <c r="I14" s="114"/>
      <c r="J14" s="15" t="s">
        <v>185</v>
      </c>
      <c r="K14" s="15" t="s">
        <v>203</v>
      </c>
      <c r="L14" s="15" t="s">
        <v>258</v>
      </c>
      <c r="M14" s="15" t="s">
        <v>254</v>
      </c>
      <c r="N14" s="2"/>
    </row>
    <row r="15" spans="1:14" ht="145" x14ac:dyDescent="0.35">
      <c r="A15" s="15" t="s">
        <v>212</v>
      </c>
      <c r="B15" s="15" t="s">
        <v>255</v>
      </c>
      <c r="C15" s="15" t="s">
        <v>256</v>
      </c>
      <c r="D15" s="15" t="s">
        <v>236</v>
      </c>
      <c r="E15" s="15" t="s">
        <v>257</v>
      </c>
      <c r="F15" s="114"/>
      <c r="G15" s="114"/>
      <c r="H15" s="114"/>
      <c r="I15" s="114"/>
      <c r="J15" s="14" t="s">
        <v>185</v>
      </c>
      <c r="K15" s="15" t="s">
        <v>203</v>
      </c>
      <c r="L15" s="15" t="s">
        <v>263</v>
      </c>
      <c r="M15" s="14" t="s">
        <v>259</v>
      </c>
      <c r="N15" s="2"/>
    </row>
    <row r="16" spans="1:14" ht="145" x14ac:dyDescent="0.35">
      <c r="A16" s="14" t="s">
        <v>212</v>
      </c>
      <c r="B16" s="15" t="s">
        <v>260</v>
      </c>
      <c r="C16" s="15" t="s">
        <v>261</v>
      </c>
      <c r="D16" s="15" t="s">
        <v>236</v>
      </c>
      <c r="E16" s="15" t="s">
        <v>262</v>
      </c>
      <c r="F16" s="114"/>
      <c r="G16" s="114"/>
      <c r="H16" s="114"/>
      <c r="I16" s="114"/>
      <c r="J16" s="15" t="s">
        <v>185</v>
      </c>
      <c r="K16" s="15" t="s">
        <v>203</v>
      </c>
      <c r="L16" s="15" t="s">
        <v>268</v>
      </c>
      <c r="M16" s="15" t="s">
        <v>264</v>
      </c>
      <c r="N16" s="2"/>
    </row>
    <row r="17" spans="1:14" ht="145" x14ac:dyDescent="0.35">
      <c r="A17" s="15" t="s">
        <v>212</v>
      </c>
      <c r="B17" s="15" t="s">
        <v>265</v>
      </c>
      <c r="C17" s="15" t="s">
        <v>266</v>
      </c>
      <c r="D17" s="15" t="s">
        <v>236</v>
      </c>
      <c r="E17" s="15" t="s">
        <v>267</v>
      </c>
      <c r="F17" s="114"/>
      <c r="G17" s="114"/>
      <c r="H17" s="114"/>
      <c r="I17" s="114"/>
      <c r="J17" s="14" t="s">
        <v>185</v>
      </c>
      <c r="K17" s="15" t="s">
        <v>203</v>
      </c>
      <c r="L17" s="15" t="s">
        <v>273</v>
      </c>
      <c r="M17" s="14" t="s">
        <v>269</v>
      </c>
      <c r="N17" s="2"/>
    </row>
    <row r="18" spans="1:14" ht="145" x14ac:dyDescent="0.35">
      <c r="A18" s="15" t="s">
        <v>212</v>
      </c>
      <c r="B18" s="15" t="s">
        <v>270</v>
      </c>
      <c r="C18" s="15" t="s">
        <v>271</v>
      </c>
      <c r="D18" s="15" t="s">
        <v>236</v>
      </c>
      <c r="E18" s="15" t="s">
        <v>272</v>
      </c>
      <c r="F18" s="114"/>
      <c r="G18" s="114"/>
      <c r="H18" s="114"/>
      <c r="I18" s="114"/>
      <c r="J18" s="15" t="s">
        <v>185</v>
      </c>
      <c r="K18" s="15" t="s">
        <v>203</v>
      </c>
      <c r="L18" s="15" t="s">
        <v>277</v>
      </c>
      <c r="M18" s="15" t="s">
        <v>269</v>
      </c>
      <c r="N18" s="2"/>
    </row>
    <row r="19" spans="1:14" ht="203" x14ac:dyDescent="0.35">
      <c r="A19" s="15" t="s">
        <v>212</v>
      </c>
      <c r="B19" s="106">
        <v>4</v>
      </c>
      <c r="C19" s="15" t="s">
        <v>274</v>
      </c>
      <c r="D19" s="15" t="s">
        <v>275</v>
      </c>
      <c r="E19" s="15" t="s">
        <v>276</v>
      </c>
      <c r="F19" s="114"/>
      <c r="G19" s="114"/>
      <c r="H19" s="114"/>
      <c r="I19" s="114"/>
      <c r="J19" s="78" t="s">
        <v>185</v>
      </c>
      <c r="K19" s="15" t="s">
        <v>203</v>
      </c>
      <c r="L19" s="15" t="s">
        <v>281</v>
      </c>
      <c r="M19" s="5" t="s">
        <v>206</v>
      </c>
      <c r="N19" s="2"/>
    </row>
    <row r="20" spans="1:14" ht="196.5" customHeight="1" x14ac:dyDescent="0.35">
      <c r="A20" s="15" t="s">
        <v>212</v>
      </c>
      <c r="B20" s="106">
        <v>5</v>
      </c>
      <c r="C20" s="15" t="s">
        <v>278</v>
      </c>
      <c r="D20" s="15" t="s">
        <v>279</v>
      </c>
      <c r="E20" s="15" t="s">
        <v>280</v>
      </c>
      <c r="F20" s="114"/>
      <c r="G20" s="114"/>
      <c r="H20" s="114"/>
      <c r="I20" s="114"/>
      <c r="J20" s="78" t="s">
        <v>185</v>
      </c>
      <c r="K20" s="15" t="s">
        <v>203</v>
      </c>
      <c r="L20" s="15" t="s">
        <v>283</v>
      </c>
      <c r="M20" s="5" t="s">
        <v>282</v>
      </c>
      <c r="N20" s="2"/>
    </row>
    <row r="21" spans="1:14" ht="196.5" customHeight="1" x14ac:dyDescent="0.35">
      <c r="A21" s="15" t="s">
        <v>212</v>
      </c>
      <c r="B21" s="106">
        <v>6</v>
      </c>
      <c r="C21" s="15" t="s">
        <v>284</v>
      </c>
      <c r="D21" s="15" t="s">
        <v>285</v>
      </c>
      <c r="E21" s="15" t="s">
        <v>286</v>
      </c>
      <c r="F21" s="114"/>
      <c r="G21" s="114"/>
      <c r="H21" s="114"/>
      <c r="I21" s="114"/>
      <c r="J21" s="78" t="s">
        <v>185</v>
      </c>
      <c r="K21" s="15" t="s">
        <v>203</v>
      </c>
      <c r="L21" s="15" t="s">
        <v>292</v>
      </c>
      <c r="M21" s="5" t="s">
        <v>287</v>
      </c>
      <c r="N21" s="2"/>
    </row>
    <row r="22" spans="1:14" ht="196.5" customHeight="1" x14ac:dyDescent="0.35">
      <c r="A22" s="15" t="s">
        <v>212</v>
      </c>
      <c r="B22" s="15" t="s">
        <v>288</v>
      </c>
      <c r="C22" s="15" t="s">
        <v>289</v>
      </c>
      <c r="D22" s="15" t="s">
        <v>290</v>
      </c>
      <c r="E22" s="15" t="s">
        <v>291</v>
      </c>
      <c r="F22" s="114"/>
      <c r="G22" s="114"/>
      <c r="H22" s="114"/>
      <c r="I22" s="114"/>
      <c r="J22" s="107" t="s">
        <v>202</v>
      </c>
      <c r="K22" s="15" t="s">
        <v>203</v>
      </c>
      <c r="L22" s="15" t="s">
        <v>296</v>
      </c>
      <c r="M22" s="15" t="s">
        <v>206</v>
      </c>
      <c r="N22" s="2"/>
    </row>
    <row r="23" spans="1:14" ht="130.5" x14ac:dyDescent="0.35">
      <c r="A23" s="15" t="s">
        <v>212</v>
      </c>
      <c r="B23" s="15" t="s">
        <v>293</v>
      </c>
      <c r="C23" s="15" t="s">
        <v>294</v>
      </c>
      <c r="D23" s="15" t="s">
        <v>290</v>
      </c>
      <c r="E23" s="15" t="s">
        <v>295</v>
      </c>
      <c r="F23" s="114"/>
      <c r="G23" s="114"/>
      <c r="H23" s="114"/>
      <c r="I23" s="114"/>
      <c r="J23" s="107" t="s">
        <v>202</v>
      </c>
      <c r="K23" s="15" t="s">
        <v>203</v>
      </c>
      <c r="L23" s="15" t="s">
        <v>300</v>
      </c>
      <c r="M23" s="15" t="s">
        <v>206</v>
      </c>
      <c r="N23" s="2"/>
    </row>
    <row r="24" spans="1:14" ht="130.5" x14ac:dyDescent="0.35">
      <c r="A24" s="14" t="s">
        <v>212</v>
      </c>
      <c r="B24" s="14" t="s">
        <v>297</v>
      </c>
      <c r="C24" s="15" t="s">
        <v>298</v>
      </c>
      <c r="D24" s="15" t="s">
        <v>290</v>
      </c>
      <c r="E24" s="15" t="s">
        <v>299</v>
      </c>
      <c r="F24" s="114"/>
      <c r="G24" s="114"/>
      <c r="H24" s="114"/>
      <c r="I24" s="114"/>
      <c r="J24" s="107" t="s">
        <v>202</v>
      </c>
      <c r="K24" s="15" t="s">
        <v>203</v>
      </c>
      <c r="L24" s="15" t="s">
        <v>911</v>
      </c>
      <c r="M24" s="15" t="s">
        <v>206</v>
      </c>
      <c r="N24" s="2"/>
    </row>
    <row r="25" spans="1:14" x14ac:dyDescent="0.35">
      <c r="N25" s="2"/>
    </row>
    <row r="26" spans="1:14" ht="105.75" customHeight="1" x14ac:dyDescent="0.35">
      <c r="N26" s="2"/>
    </row>
    <row r="27" spans="1:14" ht="105.75" customHeight="1" x14ac:dyDescent="0.35">
      <c r="N27" s="2"/>
    </row>
    <row r="28" spans="1:14" ht="204.75" customHeight="1" x14ac:dyDescent="0.35">
      <c r="N28" s="2"/>
    </row>
    <row r="29" spans="1:14" x14ac:dyDescent="0.35">
      <c r="N29" s="2"/>
    </row>
    <row r="30" spans="1:14" x14ac:dyDescent="0.35">
      <c r="N30" s="2"/>
    </row>
    <row r="31" spans="1:14" x14ac:dyDescent="0.35">
      <c r="N31" s="2"/>
    </row>
    <row r="32" spans="1:14" x14ac:dyDescent="0.35">
      <c r="N32" s="2"/>
    </row>
    <row r="33" spans="1:14" x14ac:dyDescent="0.35">
      <c r="N33" s="2"/>
    </row>
    <row r="34" spans="1:14" x14ac:dyDescent="0.35">
      <c r="N34" s="2"/>
    </row>
    <row r="35" spans="1:14" x14ac:dyDescent="0.35">
      <c r="N35" s="2"/>
    </row>
    <row r="36" spans="1:14" x14ac:dyDescent="0.35">
      <c r="N36" s="2"/>
    </row>
    <row r="37" spans="1:14" x14ac:dyDescent="0.35">
      <c r="N37" s="2"/>
    </row>
    <row r="38" spans="1:14" x14ac:dyDescent="0.35">
      <c r="N38" s="2"/>
    </row>
    <row r="39" spans="1:14" x14ac:dyDescent="0.35">
      <c r="N39" s="2"/>
    </row>
    <row r="40" spans="1:14" x14ac:dyDescent="0.35">
      <c r="N40" s="2"/>
    </row>
    <row r="41" spans="1:14" x14ac:dyDescent="0.35">
      <c r="N41" s="2"/>
    </row>
    <row r="42" spans="1:14" x14ac:dyDescent="0.35">
      <c r="N42" s="2"/>
    </row>
    <row r="43" spans="1:14" x14ac:dyDescent="0.35">
      <c r="N43" s="2"/>
    </row>
    <row r="44" spans="1:14" x14ac:dyDescent="0.35">
      <c r="N44" s="2"/>
    </row>
    <row r="45" spans="1:14" x14ac:dyDescent="0.35">
      <c r="N45" s="2"/>
    </row>
    <row r="46" spans="1:14" ht="183.75" customHeight="1" x14ac:dyDescent="0.35">
      <c r="N46" s="2"/>
    </row>
    <row r="47" spans="1:14" x14ac:dyDescent="0.35">
      <c r="N47" s="2"/>
    </row>
    <row r="48" spans="1:14" customFormat="1" x14ac:dyDescent="0.35">
      <c r="A48" s="14"/>
      <c r="B48" s="107"/>
      <c r="C48" s="15"/>
      <c r="D48" s="15"/>
      <c r="E48" s="15"/>
      <c r="G48" s="15"/>
      <c r="H48" s="14"/>
      <c r="I48" s="14"/>
      <c r="J48" s="14"/>
      <c r="M48" s="105"/>
    </row>
    <row r="49" spans="1:13" customFormat="1" x14ac:dyDescent="0.35">
      <c r="A49" s="14"/>
      <c r="B49" s="107"/>
      <c r="C49" s="15"/>
      <c r="D49" s="15"/>
      <c r="E49" s="15"/>
      <c r="G49" s="15"/>
      <c r="H49" s="14"/>
      <c r="I49" s="14"/>
      <c r="J49" s="14"/>
      <c r="M49" s="105"/>
    </row>
    <row r="50" spans="1:13" customFormat="1" x14ac:dyDescent="0.35">
      <c r="A50" s="14"/>
      <c r="B50" s="107"/>
      <c r="C50" s="15"/>
      <c r="D50" s="15"/>
      <c r="E50" s="15"/>
      <c r="G50" s="15"/>
      <c r="H50" s="14"/>
      <c r="I50" s="14"/>
      <c r="J50" s="14"/>
      <c r="M50" s="105"/>
    </row>
    <row r="51" spans="1:13" customFormat="1" x14ac:dyDescent="0.35">
      <c r="A51" s="14"/>
      <c r="B51" s="107"/>
      <c r="C51" s="15"/>
      <c r="D51" s="15"/>
      <c r="E51" s="15"/>
      <c r="G51" s="15"/>
      <c r="H51" s="14"/>
      <c r="I51" s="14"/>
      <c r="J51" s="14"/>
      <c r="M51" s="105"/>
    </row>
    <row r="52" spans="1:13" customFormat="1" x14ac:dyDescent="0.35">
      <c r="A52" s="14"/>
      <c r="B52" s="107"/>
      <c r="C52" s="15"/>
      <c r="D52" s="15"/>
      <c r="E52" s="15"/>
      <c r="G52" s="15"/>
      <c r="H52" s="14"/>
      <c r="I52" s="14"/>
      <c r="J52" s="14"/>
      <c r="M52" s="105"/>
    </row>
    <row r="53" spans="1:13" customFormat="1" x14ac:dyDescent="0.35">
      <c r="A53" s="14"/>
      <c r="B53" s="107"/>
      <c r="C53" s="15"/>
      <c r="D53" s="15"/>
      <c r="E53" s="15"/>
      <c r="G53" s="15"/>
      <c r="H53" s="14"/>
      <c r="I53" s="14"/>
      <c r="J53" s="14"/>
      <c r="M53" s="105"/>
    </row>
    <row r="54" spans="1:13" customFormat="1" x14ac:dyDescent="0.35">
      <c r="A54" s="14"/>
      <c r="B54" s="107"/>
      <c r="C54" s="15"/>
      <c r="D54" s="15"/>
      <c r="E54" s="15"/>
      <c r="G54" s="15"/>
      <c r="H54" s="14"/>
      <c r="I54" s="14"/>
      <c r="J54" s="14"/>
      <c r="M54" s="105"/>
    </row>
    <row r="55" spans="1:13" customFormat="1" x14ac:dyDescent="0.35">
      <c r="A55" s="14"/>
      <c r="B55" s="107"/>
      <c r="C55" s="15"/>
      <c r="D55" s="15"/>
      <c r="E55" s="15"/>
      <c r="G55" s="15"/>
      <c r="H55" s="14"/>
      <c r="I55" s="14"/>
      <c r="J55" s="14"/>
      <c r="M55" s="105"/>
    </row>
    <row r="56" spans="1:13" customFormat="1" ht="93.75" customHeight="1" x14ac:dyDescent="0.35">
      <c r="A56" s="14"/>
      <c r="B56" s="107"/>
      <c r="C56" s="15"/>
      <c r="D56" s="15"/>
      <c r="E56" s="15"/>
      <c r="G56" s="15"/>
      <c r="H56" s="14"/>
      <c r="I56" s="14"/>
      <c r="J56" s="14"/>
      <c r="M56" s="105"/>
    </row>
    <row r="57" spans="1:13" customFormat="1" x14ac:dyDescent="0.35">
      <c r="A57" s="14"/>
      <c r="B57" s="107"/>
      <c r="C57" s="15"/>
      <c r="D57" s="15"/>
      <c r="E57" s="15"/>
      <c r="G57" s="15"/>
      <c r="H57" s="14"/>
      <c r="I57" s="14"/>
      <c r="J57" s="14"/>
      <c r="M57" s="105"/>
    </row>
    <row r="58" spans="1:13" customFormat="1" x14ac:dyDescent="0.35">
      <c r="A58" s="14"/>
      <c r="B58" s="107"/>
      <c r="C58" s="15"/>
      <c r="D58" s="15"/>
      <c r="E58" s="15"/>
      <c r="G58" s="15"/>
      <c r="H58" s="14"/>
      <c r="I58" s="14"/>
      <c r="J58" s="14"/>
      <c r="M58" s="105"/>
    </row>
    <row r="59" spans="1:13" customFormat="1" x14ac:dyDescent="0.35">
      <c r="A59" s="14"/>
      <c r="B59" s="107"/>
      <c r="C59" s="15"/>
      <c r="D59" s="15"/>
      <c r="E59" s="15"/>
      <c r="G59" s="15"/>
      <c r="H59" s="14"/>
      <c r="I59" s="14"/>
      <c r="J59" s="14"/>
      <c r="M59" s="105"/>
    </row>
    <row r="60" spans="1:13" customFormat="1" x14ac:dyDescent="0.35">
      <c r="A60" s="14"/>
      <c r="B60" s="107"/>
      <c r="C60" s="15"/>
      <c r="D60" s="15"/>
      <c r="E60" s="15"/>
      <c r="G60" s="15"/>
      <c r="H60" s="14"/>
      <c r="I60" s="14"/>
      <c r="J60" s="14"/>
      <c r="M60" s="105"/>
    </row>
    <row r="61" spans="1:13" customFormat="1" x14ac:dyDescent="0.35">
      <c r="A61" s="14"/>
      <c r="B61" s="107"/>
      <c r="C61" s="15"/>
      <c r="D61" s="15"/>
      <c r="E61" s="15"/>
      <c r="G61" s="15"/>
      <c r="H61" s="14"/>
      <c r="I61" s="14"/>
      <c r="J61" s="14"/>
      <c r="M61" s="105"/>
    </row>
    <row r="62" spans="1:13" customFormat="1" x14ac:dyDescent="0.35">
      <c r="A62" s="14"/>
      <c r="B62" s="107"/>
      <c r="C62" s="15"/>
      <c r="D62" s="15"/>
      <c r="E62" s="15"/>
      <c r="G62" s="15"/>
      <c r="H62" s="14"/>
      <c r="I62" s="14"/>
      <c r="J62" s="14"/>
      <c r="M62" s="105"/>
    </row>
    <row r="63" spans="1:13" customFormat="1" x14ac:dyDescent="0.35">
      <c r="A63" s="14"/>
      <c r="B63" s="107"/>
      <c r="C63" s="15"/>
      <c r="D63" s="15"/>
      <c r="E63" s="15"/>
      <c r="G63" s="15"/>
      <c r="H63" s="14"/>
      <c r="I63" s="14"/>
      <c r="J63" s="14"/>
      <c r="M63" s="105"/>
    </row>
    <row r="64" spans="1:13" customFormat="1" ht="159" customHeight="1" x14ac:dyDescent="0.35">
      <c r="A64" s="14"/>
      <c r="B64" s="107"/>
      <c r="C64" s="15"/>
      <c r="D64" s="15"/>
      <c r="E64" s="15"/>
      <c r="G64" s="15"/>
      <c r="H64" s="14"/>
      <c r="I64" s="14"/>
      <c r="J64" s="14"/>
      <c r="M64" s="105"/>
    </row>
    <row r="65" spans="1:14" customFormat="1" x14ac:dyDescent="0.35">
      <c r="A65" s="14"/>
      <c r="B65" s="107"/>
      <c r="C65" s="15"/>
      <c r="D65" s="15"/>
      <c r="E65" s="15"/>
      <c r="G65" s="15"/>
      <c r="H65" s="14"/>
      <c r="I65" s="14"/>
      <c r="J65" s="14"/>
      <c r="M65" s="105"/>
    </row>
    <row r="66" spans="1:14" ht="120.75" customHeight="1" x14ac:dyDescent="0.35">
      <c r="N66" s="2"/>
    </row>
    <row r="67" spans="1:14" x14ac:dyDescent="0.35">
      <c r="N67" s="2"/>
    </row>
    <row r="68" spans="1:14" x14ac:dyDescent="0.35">
      <c r="N68" s="2"/>
    </row>
    <row r="69" spans="1:14" x14ac:dyDescent="0.35">
      <c r="N69" s="2"/>
    </row>
    <row r="70" spans="1:14" x14ac:dyDescent="0.35">
      <c r="N70" s="2"/>
    </row>
    <row r="71" spans="1:14" x14ac:dyDescent="0.35">
      <c r="N71" s="2"/>
    </row>
    <row r="72" spans="1:14" x14ac:dyDescent="0.35">
      <c r="N72" s="2"/>
    </row>
    <row r="73" spans="1:14" x14ac:dyDescent="0.35">
      <c r="N73" s="2"/>
    </row>
    <row r="74" spans="1:14" x14ac:dyDescent="0.35">
      <c r="N74" s="2"/>
    </row>
    <row r="75" spans="1:14" x14ac:dyDescent="0.35">
      <c r="N75" s="2"/>
    </row>
    <row r="76" spans="1:14" ht="60" customHeight="1" x14ac:dyDescent="0.35">
      <c r="N76" s="2"/>
    </row>
    <row r="77" spans="1:14" x14ac:dyDescent="0.35">
      <c r="N77" s="2"/>
    </row>
    <row r="78" spans="1:14" x14ac:dyDescent="0.35">
      <c r="N78" s="2"/>
    </row>
    <row r="79" spans="1:14" x14ac:dyDescent="0.35">
      <c r="N79" s="2"/>
    </row>
    <row r="80" spans="1:14" x14ac:dyDescent="0.35">
      <c r="N80" s="2"/>
    </row>
    <row r="81" spans="14:14" x14ac:dyDescent="0.35">
      <c r="N81" s="2"/>
    </row>
    <row r="82" spans="14:14" x14ac:dyDescent="0.35">
      <c r="N82" s="2"/>
    </row>
    <row r="83" spans="14:14" x14ac:dyDescent="0.35">
      <c r="N83" s="2"/>
    </row>
    <row r="84" spans="14:14" x14ac:dyDescent="0.35">
      <c r="N84" s="2"/>
    </row>
    <row r="85" spans="14:14" x14ac:dyDescent="0.35">
      <c r="N85" s="2"/>
    </row>
    <row r="86" spans="14:14" x14ac:dyDescent="0.35">
      <c r="N86" s="2"/>
    </row>
    <row r="87" spans="14:14" x14ac:dyDescent="0.35">
      <c r="N87" s="2"/>
    </row>
    <row r="88" spans="14:14" x14ac:dyDescent="0.35">
      <c r="N88" s="2"/>
    </row>
    <row r="89" spans="14:14" x14ac:dyDescent="0.35">
      <c r="N89" s="2"/>
    </row>
    <row r="90" spans="14:14" x14ac:dyDescent="0.35">
      <c r="N90" s="2"/>
    </row>
    <row r="91" spans="14:14" x14ac:dyDescent="0.35">
      <c r="N91" s="2"/>
    </row>
    <row r="92" spans="14:14" x14ac:dyDescent="0.35">
      <c r="N92" s="2"/>
    </row>
    <row r="93" spans="14:14" x14ac:dyDescent="0.35">
      <c r="N93" s="2"/>
    </row>
    <row r="94" spans="14:14" x14ac:dyDescent="0.35">
      <c r="N94" s="2"/>
    </row>
    <row r="95" spans="14:14" ht="63.75" customHeight="1" x14ac:dyDescent="0.35">
      <c r="N95" s="2"/>
    </row>
    <row r="96" spans="14:14" x14ac:dyDescent="0.35">
      <c r="N96" s="2"/>
    </row>
    <row r="97" spans="14:14" x14ac:dyDescent="0.35">
      <c r="N97" s="2"/>
    </row>
    <row r="98" spans="14:14" x14ac:dyDescent="0.35">
      <c r="N98" s="2"/>
    </row>
    <row r="99" spans="14:14" x14ac:dyDescent="0.35">
      <c r="N99" s="2"/>
    </row>
    <row r="100" spans="14:14" x14ac:dyDescent="0.35">
      <c r="N100" s="2"/>
    </row>
    <row r="101" spans="14:14" x14ac:dyDescent="0.35">
      <c r="N101" s="2"/>
    </row>
    <row r="102" spans="14:14" x14ac:dyDescent="0.35">
      <c r="N102" s="2"/>
    </row>
    <row r="113" ht="47.25" customHeight="1" x14ac:dyDescent="0.35"/>
    <row r="176" ht="15.75" customHeight="1" x14ac:dyDescent="0.35"/>
  </sheetData>
  <sheetProtection formatCells="0" formatColumns="0" formatRows="0" autoFilter="0"/>
  <dataConsolidate/>
  <phoneticPr fontId="4" type="noConversion"/>
  <dataValidations count="1">
    <dataValidation type="list" allowBlank="1" showInputMessage="1" showErrorMessage="1" sqref="I3:I4 I6:I24" xr:uid="{0F2287A7-0D31-418B-BCE4-F453CCDD2A07}">
      <formula1>INDIRECT("l_AssessorRating")</formula1>
    </dataValidation>
  </dataValidations>
  <hyperlinks>
    <hyperlink ref="E9" r:id="rId1" display="End-user documentation (ie technical catalogue, manual…) shall include legal disclaimers regarding cyber security as defined in 9ADB006607 https://search.abb.com/library/Download.aspx?DocumentID=9ADB006607&amp;LanguageCode=en&amp;DocumentPartId=&amp;Action=Launch" xr:uid="{CDFC449E-FE4F-4221-8622-3352E02B9941}"/>
  </hyperlinks>
  <pageMargins left="0.7" right="0.7" top="0.75" bottom="0.75" header="0.3" footer="0.3"/>
  <pageSetup paperSize="9" orientation="portrait"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2" operator="equal" id="{F1DED7DB-67CC-48FC-977F-F0786F38AE0E}">
            <xm:f>List_Values!$B$15</xm:f>
            <x14:dxf>
              <fill>
                <patternFill>
                  <bgColor rgb="FFFF0000"/>
                </patternFill>
              </fill>
            </x14:dxf>
          </x14:cfRule>
          <x14:cfRule type="cellIs" priority="3" operator="equal" id="{DBEEE35D-CD22-4D27-972C-21A063BB0E45}">
            <xm:f>List_Values!$B$14</xm:f>
            <x14:dxf>
              <fill>
                <patternFill>
                  <bgColor rgb="FFFFFF00"/>
                </patternFill>
              </fill>
            </x14:dxf>
          </x14:cfRule>
          <x14:cfRule type="cellIs" priority="4" operator="equal" id="{EF487B1A-3140-4B1D-A81E-43568F23A194}">
            <xm:f>List_Values!$B$13</xm:f>
            <x14:dxf>
              <fill>
                <patternFill>
                  <bgColor rgb="FF92D050"/>
                </patternFill>
              </fill>
            </x14:dxf>
          </x14:cfRule>
          <x14:cfRule type="cellIs" priority="5" operator="equal" id="{D6DA150F-2318-46A9-9495-E1A4E2E39F45}">
            <xm:f>List_Values!$B$12</xm:f>
            <x14:dxf>
              <fill>
                <patternFill>
                  <bgColor rgb="FF00B050"/>
                </patternFill>
              </fill>
            </x14:dxf>
          </x14:cfRule>
          <xm:sqref>I6:I24</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99"/>
  <sheetViews>
    <sheetView zoomScale="80" zoomScaleNormal="80" zoomScaleSheetLayoutView="90" workbookViewId="0">
      <pane ySplit="7" topLeftCell="A8" activePane="bottomLeft" state="frozen"/>
      <selection pane="bottomLeft" activeCell="C8" sqref="C8"/>
    </sheetView>
  </sheetViews>
  <sheetFormatPr defaultColWidth="9.36328125" defaultRowHeight="14.5" outlineLevelCol="1" x14ac:dyDescent="0.35"/>
  <cols>
    <col min="1" max="2" width="9.36328125" style="2"/>
    <col min="3" max="3" width="57.6328125" style="14" customWidth="1"/>
    <col min="4" max="4" width="53" style="14" customWidth="1"/>
    <col min="5" max="5" width="9.36328125" style="2"/>
    <col min="6" max="6" width="5.6328125" style="4" customWidth="1"/>
    <col min="7" max="7" width="4.6328125" style="4" customWidth="1"/>
    <col min="8" max="8" width="4.36328125" style="4" customWidth="1"/>
    <col min="9" max="9" width="3.6328125" style="4" customWidth="1"/>
    <col min="10" max="10" width="4.6328125" style="3" customWidth="1"/>
    <col min="11" max="11" width="10.36328125" style="3" customWidth="1" outlineLevel="1"/>
    <col min="12" max="12" width="9.36328125" style="2" customWidth="1" outlineLevel="1"/>
    <col min="13" max="13" width="11.6328125" style="2" customWidth="1" outlineLevel="1"/>
    <col min="14" max="14" width="11" style="2" customWidth="1" outlineLevel="1"/>
    <col min="15" max="15" width="9.36328125" style="2" customWidth="1" outlineLevel="1"/>
    <col min="16" max="16" width="10.6328125" style="2" customWidth="1" outlineLevel="1"/>
    <col min="17" max="17" width="12.453125" style="2" customWidth="1" outlineLevel="1"/>
    <col min="18" max="18" width="10.6328125" style="2" customWidth="1"/>
    <col min="19" max="16384" width="9.36328125" style="2"/>
  </cols>
  <sheetData>
    <row r="1" spans="1:18" x14ac:dyDescent="0.35">
      <c r="A1" s="1" t="s">
        <v>7</v>
      </c>
      <c r="J1" s="9" t="s">
        <v>88</v>
      </c>
      <c r="K1" s="9"/>
      <c r="L1" s="9">
        <v>3</v>
      </c>
      <c r="M1" t="s">
        <v>301</v>
      </c>
    </row>
    <row r="2" spans="1:18" x14ac:dyDescent="0.35">
      <c r="A2" s="2" t="s">
        <v>8</v>
      </c>
      <c r="F2" s="16" t="s">
        <v>302</v>
      </c>
      <c r="J2"/>
      <c r="K2"/>
      <c r="L2" s="9">
        <v>2</v>
      </c>
      <c r="M2" t="s">
        <v>303</v>
      </c>
    </row>
    <row r="3" spans="1:18" x14ac:dyDescent="0.35">
      <c r="A3" s="2" t="s">
        <v>9</v>
      </c>
      <c r="F3" t="s">
        <v>304</v>
      </c>
      <c r="J3"/>
      <c r="K3"/>
      <c r="L3" s="9">
        <v>0</v>
      </c>
      <c r="M3" t="s">
        <v>305</v>
      </c>
    </row>
    <row r="4" spans="1:18" x14ac:dyDescent="0.35">
      <c r="A4" s="2" t="s">
        <v>10</v>
      </c>
      <c r="C4" s="14" t="s">
        <v>11</v>
      </c>
      <c r="J4"/>
      <c r="K4"/>
      <c r="L4" s="9" t="s">
        <v>306</v>
      </c>
      <c r="M4" t="s">
        <v>307</v>
      </c>
    </row>
    <row r="5" spans="1:18" x14ac:dyDescent="0.35">
      <c r="L5" s="17" t="s">
        <v>32</v>
      </c>
      <c r="P5">
        <v>2</v>
      </c>
    </row>
    <row r="6" spans="1:18" ht="43.5" x14ac:dyDescent="0.35">
      <c r="A6" s="32"/>
      <c r="B6" s="32"/>
      <c r="C6" s="80"/>
      <c r="D6" s="80"/>
      <c r="E6" s="32"/>
      <c r="F6" s="40" t="s">
        <v>23</v>
      </c>
      <c r="G6" s="40" t="s">
        <v>26</v>
      </c>
      <c r="H6" s="40" t="s">
        <v>28</v>
      </c>
      <c r="I6" s="40" t="s">
        <v>30</v>
      </c>
      <c r="J6" s="41" t="s">
        <v>94</v>
      </c>
      <c r="K6" s="61" t="s">
        <v>182</v>
      </c>
      <c r="L6" s="60" t="s">
        <v>308</v>
      </c>
      <c r="M6" s="60" t="s">
        <v>309</v>
      </c>
      <c r="N6" s="60" t="s">
        <v>310</v>
      </c>
      <c r="O6" s="60" t="s">
        <v>311</v>
      </c>
      <c r="P6" s="63" t="s">
        <v>312</v>
      </c>
      <c r="Q6" s="63" t="s">
        <v>313</v>
      </c>
      <c r="R6" s="52" t="s">
        <v>314</v>
      </c>
    </row>
    <row r="7" spans="1:18" x14ac:dyDescent="0.35">
      <c r="A7" s="1" t="s">
        <v>36</v>
      </c>
      <c r="D7" s="15"/>
      <c r="F7" s="42">
        <f>IFERROR(AVERAGE(E11,E26,E29,E35,E41,E47,E65,E68,E71,E74),"n/a")</f>
        <v>2</v>
      </c>
      <c r="G7" s="42">
        <f>IFERROR(AVERAGE(E11,E14,E20,E26,E29,E35,E41,E44,E47,E56,E59,E65,E68,E71,E74,E80),"n/a")</f>
        <v>2</v>
      </c>
      <c r="H7" s="42">
        <f>IFERROR(AVERAGE(E11,E14,E17,E20,E23,E26,E29,E35,E38,E41,E44,E47,E50,E56,E59,E62,E65,E68,E71,E74,E77,E80,E83),"n/a")</f>
        <v>2</v>
      </c>
      <c r="I7" s="42">
        <f>IFERROR(AVERAGE(E11,E14,E17,E20,E23,E26,E29,E35,E38,E41,E44,E47,E50,E53,E56,E59,E62,E65,E68,E71,E74,E77,E80,E83),"n/a")</f>
        <v>2</v>
      </c>
      <c r="J7" s="39"/>
      <c r="K7" s="39"/>
      <c r="P7" s="12" t="s">
        <v>315</v>
      </c>
    </row>
    <row r="8" spans="1:18" ht="72.5" x14ac:dyDescent="0.35">
      <c r="B8" s="18"/>
      <c r="C8" s="18" t="s">
        <v>316</v>
      </c>
      <c r="D8" s="20" t="s">
        <v>317</v>
      </c>
      <c r="M8" s="90"/>
      <c r="P8" s="12" t="s">
        <v>315</v>
      </c>
    </row>
    <row r="9" spans="1:18" x14ac:dyDescent="0.35">
      <c r="A9" s="21" t="s">
        <v>318</v>
      </c>
      <c r="B9" s="23" t="s">
        <v>319</v>
      </c>
      <c r="C9" s="23" t="s">
        <v>320</v>
      </c>
      <c r="D9" s="53" t="s">
        <v>321</v>
      </c>
      <c r="P9" s="12" t="str">
        <f>IF(COUNTA(K10:O10)=0,"No","Yes")</f>
        <v>No</v>
      </c>
    </row>
    <row r="10" spans="1:18" ht="145" x14ac:dyDescent="0.35">
      <c r="C10" s="24" t="s">
        <v>322</v>
      </c>
      <c r="D10" s="27"/>
      <c r="P10" s="12" t="str">
        <f>IF(COUNTA(K10:O10)=0,"No","Yes")</f>
        <v>No</v>
      </c>
      <c r="R10" t="s">
        <v>323</v>
      </c>
    </row>
    <row r="11" spans="1:18" x14ac:dyDescent="0.35">
      <c r="A11" s="22"/>
      <c r="B11" s="22"/>
      <c r="C11" s="26" t="s">
        <v>324</v>
      </c>
      <c r="D11" s="54"/>
      <c r="E11" s="29" t="str">
        <f>IF(D11=FR1_IAC!$M$1,FR1_IAC!$L$1,(IF(D11=FR1_IAC!$M$2,FR1_IAC!$L$2,(IF(D11=FR1_IAC!$M$3,FR1_IAC!$L$3,(IF(D11=FR1_IAC!$M$4,FR1_IAC!$L$4,FR1_IAC!$L$5)))))))</f>
        <v/>
      </c>
      <c r="F11" s="4">
        <v>1</v>
      </c>
      <c r="G11" s="4">
        <v>2</v>
      </c>
      <c r="H11" s="4">
        <v>3</v>
      </c>
      <c r="I11" s="4">
        <v>4</v>
      </c>
      <c r="J11">
        <f>MIN(F11:I11)</f>
        <v>1</v>
      </c>
      <c r="K11"/>
      <c r="P11" s="12" t="str">
        <f>IF(COUNTA(K10:O10)=0,"No","Yes")</f>
        <v>No</v>
      </c>
    </row>
    <row r="12" spans="1:18" x14ac:dyDescent="0.35">
      <c r="A12" s="2" t="s">
        <v>325</v>
      </c>
      <c r="B12" s="25" t="s">
        <v>326</v>
      </c>
      <c r="C12" s="25" t="s">
        <v>327</v>
      </c>
      <c r="D12" s="52" t="s">
        <v>321</v>
      </c>
      <c r="P12" s="12" t="str">
        <f>IF(COUNTA(K13:O13)=0,"No","Yes")</f>
        <v>No</v>
      </c>
    </row>
    <row r="13" spans="1:18" ht="29" x14ac:dyDescent="0.35">
      <c r="C13" s="24" t="s">
        <v>328</v>
      </c>
      <c r="D13" s="27"/>
      <c r="P13" s="12" t="str">
        <f>IF(COUNTA(K13:O13)=0,"No","Yes")</f>
        <v>No</v>
      </c>
      <c r="R13" t="s">
        <v>323</v>
      </c>
    </row>
    <row r="14" spans="1:18" x14ac:dyDescent="0.35">
      <c r="A14" s="22"/>
      <c r="B14" s="22"/>
      <c r="C14" s="26" t="s">
        <v>324</v>
      </c>
      <c r="D14" s="54"/>
      <c r="E14" s="29" t="str">
        <f>IF(D14=FR1_IAC!$M$1,FR1_IAC!$L$1,(IF(D14=FR1_IAC!$M$2,FR1_IAC!$L$2,(IF(D14=FR1_IAC!$M$3,FR1_IAC!$L$3,(IF(D14=FR1_IAC!$M$4,FR1_IAC!$L$4,FR1_IAC!$L$5)))))))</f>
        <v/>
      </c>
      <c r="G14" s="4">
        <v>2</v>
      </c>
      <c r="H14" s="4">
        <v>3</v>
      </c>
      <c r="I14" s="4">
        <v>4</v>
      </c>
      <c r="J14">
        <f>MIN(F14:I14)</f>
        <v>2</v>
      </c>
      <c r="K14"/>
      <c r="P14" s="12" t="str">
        <f>IF(COUNTA(K13:O13)=0,"No","Yes")</f>
        <v>No</v>
      </c>
    </row>
    <row r="15" spans="1:18" x14ac:dyDescent="0.35">
      <c r="A15" s="2" t="s">
        <v>325</v>
      </c>
      <c r="B15" s="25" t="s">
        <v>329</v>
      </c>
      <c r="C15" s="25" t="s">
        <v>330</v>
      </c>
      <c r="D15" s="52" t="s">
        <v>321</v>
      </c>
      <c r="P15" s="12" t="str">
        <f>IF(COUNTA(K16:O16)=0,"No","Yes")</f>
        <v>No</v>
      </c>
    </row>
    <row r="16" spans="1:18" ht="29" x14ac:dyDescent="0.35">
      <c r="C16" s="24" t="s">
        <v>331</v>
      </c>
      <c r="D16" s="27"/>
      <c r="P16" s="12" t="str">
        <f>IF(COUNTA(K16:O16)=0,"No","Yes")</f>
        <v>No</v>
      </c>
    </row>
    <row r="17" spans="1:18" x14ac:dyDescent="0.35">
      <c r="A17" s="22"/>
      <c r="B17" s="22"/>
      <c r="C17" s="26" t="s">
        <v>324</v>
      </c>
      <c r="D17" s="54"/>
      <c r="E17" s="29" t="str">
        <f>IF(D17=FR1_IAC!$M$1,FR1_IAC!$L$1,(IF(D17=FR1_IAC!$M$2,FR1_IAC!$L$2,(IF(D17=FR1_IAC!$M$3,FR1_IAC!$L$3,(IF(D17=FR1_IAC!$M$4,FR1_IAC!$L$4,FR1_IAC!$L$5)))))))</f>
        <v/>
      </c>
      <c r="H17" s="4">
        <v>3</v>
      </c>
      <c r="I17" s="4">
        <v>4</v>
      </c>
      <c r="J17">
        <f>MIN(F17:I17)</f>
        <v>3</v>
      </c>
      <c r="K17"/>
      <c r="P17" s="12" t="str">
        <f>IF(COUNTA(K16:O16)=0,"No","Yes")</f>
        <v>No</v>
      </c>
    </row>
    <row r="18" spans="1:18" x14ac:dyDescent="0.35">
      <c r="A18" s="2" t="s">
        <v>318</v>
      </c>
      <c r="B18" s="25" t="s">
        <v>332</v>
      </c>
      <c r="C18" s="25" t="s">
        <v>333</v>
      </c>
      <c r="D18" s="52" t="s">
        <v>321</v>
      </c>
      <c r="P18" s="12" t="str">
        <f>IF(COUNTA(K19:O19)=0,"No","Yes")</f>
        <v>No</v>
      </c>
    </row>
    <row r="19" spans="1:18" ht="130.5" x14ac:dyDescent="0.35">
      <c r="C19" s="24" t="s">
        <v>334</v>
      </c>
      <c r="D19" s="55"/>
      <c r="P19" s="12" t="str">
        <f>IF(COUNTA(K19:O19)=0,"No","Yes")</f>
        <v>No</v>
      </c>
      <c r="R19" s="5" t="s">
        <v>335</v>
      </c>
    </row>
    <row r="20" spans="1:18" x14ac:dyDescent="0.35">
      <c r="A20" s="22"/>
      <c r="B20" s="22"/>
      <c r="C20" s="26" t="s">
        <v>324</v>
      </c>
      <c r="D20" s="54"/>
      <c r="E20" s="29" t="str">
        <f>IF(D20=FR1_IAC!$M$1,FR1_IAC!$L$1,(IF(D20=FR1_IAC!$M$2,FR1_IAC!$L$2,(IF(D20=FR1_IAC!$M$3,FR1_IAC!$L$3,(IF(D20=FR1_IAC!$M$4,FR1_IAC!$L$4,FR1_IAC!$L$5)))))))</f>
        <v/>
      </c>
      <c r="G20" s="4">
        <v>2</v>
      </c>
      <c r="H20" s="4">
        <v>3</v>
      </c>
      <c r="I20" s="4">
        <v>4</v>
      </c>
      <c r="J20">
        <f>MIN(F20:I20)</f>
        <v>2</v>
      </c>
      <c r="K20"/>
      <c r="P20" s="12" t="str">
        <f>IF(COUNTA(K19:O19)=0,"No","Yes")</f>
        <v>No</v>
      </c>
    </row>
    <row r="21" spans="1:18" x14ac:dyDescent="0.35">
      <c r="A21" s="2" t="s">
        <v>325</v>
      </c>
      <c r="B21" s="25" t="s">
        <v>336</v>
      </c>
      <c r="C21" s="25" t="s">
        <v>327</v>
      </c>
      <c r="D21" s="52" t="s">
        <v>321</v>
      </c>
      <c r="P21" s="12" t="str">
        <f>IF(COUNTA(K22:O22)=0,"No","Yes")</f>
        <v>No</v>
      </c>
    </row>
    <row r="22" spans="1:18" ht="29" x14ac:dyDescent="0.35">
      <c r="C22" s="24" t="s">
        <v>337</v>
      </c>
      <c r="D22" s="55"/>
      <c r="P22" s="12" t="str">
        <f>IF(COUNTA(K22:O22)=0,"No","Yes")</f>
        <v>No</v>
      </c>
      <c r="R22" s="5" t="s">
        <v>335</v>
      </c>
    </row>
    <row r="23" spans="1:18" x14ac:dyDescent="0.35">
      <c r="A23" s="22"/>
      <c r="B23" s="22"/>
      <c r="C23" s="28" t="s">
        <v>324</v>
      </c>
      <c r="D23" s="54"/>
      <c r="E23" s="29" t="str">
        <f>IF(D23=FR1_IAC!$M$1,FR1_IAC!$L$1,(IF(D23=FR1_IAC!$M$2,FR1_IAC!$L$2,(IF(D23=FR1_IAC!$M$3,FR1_IAC!$L$3,(IF(D23=FR1_IAC!$M$4,FR1_IAC!$L$4,FR1_IAC!$L$5)))))))</f>
        <v/>
      </c>
      <c r="H23" s="4">
        <v>3</v>
      </c>
      <c r="I23" s="4">
        <v>4</v>
      </c>
      <c r="J23">
        <f>MIN(F23:I23)</f>
        <v>3</v>
      </c>
      <c r="K23"/>
      <c r="P23" s="12" t="str">
        <f>IF(COUNTA(K22:O22)=0,"No","Yes")</f>
        <v>No</v>
      </c>
    </row>
    <row r="24" spans="1:18" x14ac:dyDescent="0.35">
      <c r="A24" s="2" t="s">
        <v>318</v>
      </c>
      <c r="B24" s="25" t="s">
        <v>338</v>
      </c>
      <c r="C24" s="74" t="s">
        <v>339</v>
      </c>
      <c r="D24" s="15" t="s">
        <v>321</v>
      </c>
      <c r="P24" s="12" t="str">
        <f>IF(COUNTA(K25:O25)=0,"No","Yes")</f>
        <v>Yes</v>
      </c>
      <c r="Q24" s="2" t="s">
        <v>315</v>
      </c>
    </row>
    <row r="25" spans="1:18" ht="203" x14ac:dyDescent="0.35">
      <c r="C25" s="66" t="s">
        <v>340</v>
      </c>
      <c r="D25" s="81" t="s">
        <v>341</v>
      </c>
      <c r="E25" s="52"/>
      <c r="K25" s="59" t="s">
        <v>342</v>
      </c>
      <c r="M25" s="91" t="s">
        <v>343</v>
      </c>
      <c r="N25" s="99" t="s">
        <v>342</v>
      </c>
      <c r="P25" s="12" t="str">
        <f>IF(COUNTA(K25:O25)=0,"No","Yes")</f>
        <v>Yes</v>
      </c>
      <c r="Q25" s="2" t="s">
        <v>315</v>
      </c>
      <c r="R25" s="2" t="s">
        <v>323</v>
      </c>
    </row>
    <row r="26" spans="1:18" x14ac:dyDescent="0.35">
      <c r="A26" s="22"/>
      <c r="B26" s="22"/>
      <c r="C26" s="82" t="s">
        <v>324</v>
      </c>
      <c r="D26" s="83" t="s">
        <v>303</v>
      </c>
      <c r="E26" s="29">
        <f>IF(D26=FR1_IAC!$M$1,FR1_IAC!$L$1,(IF(D26=FR1_IAC!$M$2,FR1_IAC!$L$2,(IF(D26=FR1_IAC!$M$3,FR1_IAC!$L$3,(IF(D26=FR1_IAC!$M$4,FR1_IAC!$L$4,FR1_IAC!$L$5)))))))</f>
        <v>2</v>
      </c>
      <c r="F26" s="4">
        <v>1</v>
      </c>
      <c r="G26" s="4">
        <v>2</v>
      </c>
      <c r="H26" s="4">
        <v>3</v>
      </c>
      <c r="I26" s="4">
        <v>4</v>
      </c>
      <c r="J26" s="4">
        <f>MIN(F26:I26)</f>
        <v>1</v>
      </c>
      <c r="K26"/>
      <c r="P26" s="12" t="str">
        <f>IF(COUNTA(K25:O25)=0,"No","Yes")</f>
        <v>Yes</v>
      </c>
      <c r="Q26" s="2" t="s">
        <v>315</v>
      </c>
    </row>
    <row r="27" spans="1:18" x14ac:dyDescent="0.35">
      <c r="A27" s="2" t="s">
        <v>318</v>
      </c>
      <c r="B27" s="25" t="s">
        <v>344</v>
      </c>
      <c r="C27" s="25" t="s">
        <v>345</v>
      </c>
      <c r="D27" s="52" t="s">
        <v>321</v>
      </c>
      <c r="P27" s="12" t="str">
        <f>IF(COUNTA(K28:O28)=0,"No","Yes")</f>
        <v>No</v>
      </c>
    </row>
    <row r="28" spans="1:18" ht="58" x14ac:dyDescent="0.35">
      <c r="C28" s="24" t="s">
        <v>346</v>
      </c>
      <c r="D28" s="55"/>
      <c r="M28" s="52"/>
      <c r="P28" s="12" t="str">
        <f>IF(COUNTA(K28:O28)=0,"No","Yes")</f>
        <v>No</v>
      </c>
      <c r="R28" s="2" t="s">
        <v>347</v>
      </c>
    </row>
    <row r="29" spans="1:18" x14ac:dyDescent="0.35">
      <c r="A29" s="22"/>
      <c r="B29" s="22"/>
      <c r="C29" s="26" t="s">
        <v>324</v>
      </c>
      <c r="D29" s="54"/>
      <c r="E29" s="29" t="str">
        <f>IF(D29=FR1_IAC!$M$1,FR1_IAC!$L$1,(IF(D29=FR1_IAC!$M$2,FR1_IAC!$L$2,(IF(D29=FR1_IAC!$M$3,FR1_IAC!$L$3,(IF(D29=FR1_IAC!$M$4,FR1_IAC!$L$4,FR1_IAC!$L$5)))))))</f>
        <v/>
      </c>
      <c r="F29" s="4">
        <v>1</v>
      </c>
      <c r="G29" s="4">
        <v>2</v>
      </c>
      <c r="H29" s="4">
        <v>3</v>
      </c>
      <c r="I29" s="4">
        <v>4</v>
      </c>
      <c r="J29">
        <f>MIN(F29:I29)</f>
        <v>1</v>
      </c>
      <c r="K29"/>
      <c r="M29" s="52"/>
      <c r="P29" s="12" t="str">
        <f>IF(COUNTA(K28:O28)=0,"No","Yes")</f>
        <v>No</v>
      </c>
    </row>
    <row r="30" spans="1:18" ht="15" customHeight="1" x14ac:dyDescent="0.35">
      <c r="A30" s="14" t="s">
        <v>318</v>
      </c>
      <c r="B30" s="74" t="s">
        <v>348</v>
      </c>
      <c r="C30" s="74" t="s">
        <v>349</v>
      </c>
      <c r="D30" s="15" t="s">
        <v>350</v>
      </c>
      <c r="M30" s="52"/>
      <c r="P30" s="12" t="str">
        <f>IF(COUNTA(K31:O31)=0,"No","Yes")</f>
        <v>Yes</v>
      </c>
      <c r="Q30" s="2" t="s">
        <v>315</v>
      </c>
    </row>
    <row r="31" spans="1:18" ht="58" x14ac:dyDescent="0.35">
      <c r="B31" s="2" t="s">
        <v>351</v>
      </c>
      <c r="C31" s="66" t="s">
        <v>352</v>
      </c>
      <c r="D31" s="81" t="s">
        <v>353</v>
      </c>
      <c r="K31" s="79" t="s">
        <v>342</v>
      </c>
      <c r="L31" s="14"/>
      <c r="M31" s="92" t="s">
        <v>354</v>
      </c>
      <c r="N31" s="92" t="s">
        <v>342</v>
      </c>
      <c r="O31" s="14"/>
      <c r="P31" s="12" t="s">
        <v>315</v>
      </c>
      <c r="Q31" s="2" t="s">
        <v>315</v>
      </c>
    </row>
    <row r="32" spans="1:18" ht="101.5" x14ac:dyDescent="0.35">
      <c r="B32" s="2" t="s">
        <v>355</v>
      </c>
      <c r="C32" s="66" t="s">
        <v>356</v>
      </c>
      <c r="D32" s="81" t="s">
        <v>357</v>
      </c>
      <c r="K32" s="79" t="s">
        <v>358</v>
      </c>
      <c r="L32" s="14"/>
      <c r="M32" s="93"/>
      <c r="N32" s="93"/>
      <c r="O32" s="14"/>
      <c r="P32" s="12" t="s">
        <v>359</v>
      </c>
      <c r="Q32" s="2" t="s">
        <v>315</v>
      </c>
      <c r="R32" s="2" t="s">
        <v>360</v>
      </c>
    </row>
    <row r="33" spans="1:18" ht="47.25" customHeight="1" x14ac:dyDescent="0.35">
      <c r="B33" s="2" t="s">
        <v>361</v>
      </c>
      <c r="C33" s="66" t="s">
        <v>362</v>
      </c>
      <c r="D33" s="81" t="s">
        <v>363</v>
      </c>
      <c r="K33" s="79"/>
      <c r="L33" s="14"/>
      <c r="M33" s="15"/>
      <c r="N33" s="15"/>
      <c r="O33" s="14"/>
      <c r="P33" s="12" t="s">
        <v>105</v>
      </c>
      <c r="Q33" s="2" t="s">
        <v>315</v>
      </c>
      <c r="R33" s="2" t="s">
        <v>360</v>
      </c>
    </row>
    <row r="34" spans="1:18" ht="43.5" x14ac:dyDescent="0.35">
      <c r="B34" s="2" t="s">
        <v>364</v>
      </c>
      <c r="C34" s="66" t="s">
        <v>365</v>
      </c>
      <c r="D34" s="81" t="s">
        <v>366</v>
      </c>
      <c r="K34" s="79"/>
      <c r="L34" s="14"/>
      <c r="M34" s="92"/>
      <c r="N34" s="92" t="s">
        <v>367</v>
      </c>
      <c r="O34" s="14"/>
      <c r="P34" s="12" t="s">
        <v>315</v>
      </c>
      <c r="Q34" s="2" t="s">
        <v>315</v>
      </c>
      <c r="R34" s="52" t="s">
        <v>368</v>
      </c>
    </row>
    <row r="35" spans="1:18" x14ac:dyDescent="0.35">
      <c r="A35" s="22"/>
      <c r="B35" s="22"/>
      <c r="C35" s="82" t="s">
        <v>304</v>
      </c>
      <c r="D35" s="83" t="s">
        <v>303</v>
      </c>
      <c r="E35" s="29">
        <f>IF(D35=FR1_IAC!$M$1,FR1_IAC!$L$1,(IF(D35=FR1_IAC!$M$2,FR1_IAC!$L$2,(IF(D35=FR1_IAC!$M$3,FR1_IAC!$L$3,(IF(D35=FR1_IAC!$M$4,FR1_IAC!$L$4,FR1_IAC!$L$5)))))))</f>
        <v>2</v>
      </c>
      <c r="F35" s="4">
        <v>1</v>
      </c>
      <c r="G35" s="4">
        <v>2</v>
      </c>
      <c r="H35" s="4">
        <v>3</v>
      </c>
      <c r="I35" s="4">
        <v>4</v>
      </c>
      <c r="J35">
        <f>MIN(F35:I35)</f>
        <v>1</v>
      </c>
      <c r="K35"/>
      <c r="M35" s="52"/>
      <c r="P35" s="12" t="str">
        <f>IF(COUNTA(K31:O31)=0,"No","Yes")</f>
        <v>Yes</v>
      </c>
      <c r="Q35" s="2" t="s">
        <v>315</v>
      </c>
    </row>
    <row r="36" spans="1:18" x14ac:dyDescent="0.35">
      <c r="A36" s="2" t="s">
        <v>325</v>
      </c>
      <c r="B36" s="25" t="s">
        <v>369</v>
      </c>
      <c r="C36" s="25" t="s">
        <v>370</v>
      </c>
      <c r="D36" s="52" t="s">
        <v>321</v>
      </c>
      <c r="M36" s="52"/>
      <c r="P36" s="12" t="str">
        <f>IF(COUNTA(K37:O37)=0,"No","Yes")</f>
        <v>No</v>
      </c>
    </row>
    <row r="37" spans="1:18" ht="72.5" x14ac:dyDescent="0.35">
      <c r="C37" s="24" t="s">
        <v>371</v>
      </c>
      <c r="D37" s="55"/>
      <c r="M37" s="52"/>
      <c r="P37" s="12" t="str">
        <f>IF(COUNTA(K37:O37)=0,"No","Yes")</f>
        <v>No</v>
      </c>
      <c r="R37" s="2" t="s">
        <v>372</v>
      </c>
    </row>
    <row r="38" spans="1:18" x14ac:dyDescent="0.35">
      <c r="A38" s="22"/>
      <c r="B38" s="22"/>
      <c r="C38" s="26" t="s">
        <v>324</v>
      </c>
      <c r="D38" s="54"/>
      <c r="E38" s="29" t="str">
        <f>IF(D38=FR1_IAC!$M$1,FR1_IAC!$L$1,(IF(D38=FR1_IAC!$M$2,FR1_IAC!$L$2,(IF(D38=FR1_IAC!$M$3,FR1_IAC!$L$3,(IF(D38=FR1_IAC!$M$4,FR1_IAC!$L$4,FR1_IAC!$L$5)))))))</f>
        <v/>
      </c>
      <c r="H38" s="4">
        <v>3</v>
      </c>
      <c r="I38" s="4">
        <v>4</v>
      </c>
      <c r="J38">
        <f>MIN(F38:I38)</f>
        <v>3</v>
      </c>
      <c r="K38"/>
      <c r="M38" s="52"/>
      <c r="P38" s="12" t="str">
        <f>IF(COUNTA(K37:O37)=0,"No","Yes")</f>
        <v>No</v>
      </c>
    </row>
    <row r="39" spans="1:18" x14ac:dyDescent="0.35">
      <c r="A39" s="2" t="s">
        <v>373</v>
      </c>
      <c r="B39" s="25" t="s">
        <v>374</v>
      </c>
      <c r="C39" s="25" t="s">
        <v>375</v>
      </c>
      <c r="D39" s="52" t="s">
        <v>321</v>
      </c>
      <c r="M39" s="52"/>
      <c r="P39" s="12" t="str">
        <f>IF(COUNTA(K40:O40)=0,"No","Yes")</f>
        <v>No</v>
      </c>
    </row>
    <row r="40" spans="1:18" ht="58" x14ac:dyDescent="0.35">
      <c r="C40" s="24" t="s">
        <v>376</v>
      </c>
      <c r="D40" s="81" t="s">
        <v>377</v>
      </c>
      <c r="M40" s="52"/>
      <c r="P40" s="12" t="str">
        <f>IF(COUNTA(K40:O40)=0,"No","Yes")</f>
        <v>No</v>
      </c>
    </row>
    <row r="41" spans="1:18" x14ac:dyDescent="0.35">
      <c r="A41" s="22"/>
      <c r="B41" s="22"/>
      <c r="C41" s="26" t="s">
        <v>304</v>
      </c>
      <c r="D41" s="54"/>
      <c r="E41" s="29" t="str">
        <f>IF(D41=FR1_IAC!$M$1,FR1_IAC!$L$1,(IF(D41=FR1_IAC!$M$2,FR1_IAC!$L$2,(IF(D41=FR1_IAC!$M$3,FR1_IAC!$L$3,(IF(D41=FR1_IAC!$M$4,FR1_IAC!$L$4,FR1_IAC!$L$5)))))))</f>
        <v/>
      </c>
      <c r="F41" s="4">
        <v>1</v>
      </c>
      <c r="G41" s="4">
        <v>2</v>
      </c>
      <c r="H41" s="4">
        <v>3</v>
      </c>
      <c r="I41" s="4">
        <v>4</v>
      </c>
      <c r="J41">
        <f>MIN(F41:I41)</f>
        <v>1</v>
      </c>
      <c r="K41"/>
      <c r="M41" s="52"/>
      <c r="P41" s="12" t="str">
        <f>IF(COUNTA(K40:O40)=0,"No","Yes")</f>
        <v>No</v>
      </c>
    </row>
    <row r="42" spans="1:18" x14ac:dyDescent="0.35">
      <c r="A42" s="2" t="s">
        <v>378</v>
      </c>
      <c r="B42" s="25" t="s">
        <v>379</v>
      </c>
      <c r="C42" s="25" t="s">
        <v>327</v>
      </c>
      <c r="D42" s="52" t="s">
        <v>321</v>
      </c>
      <c r="M42" s="52"/>
      <c r="P42" s="12" t="str">
        <f>IF(COUNTA(K43:O43)=0,"No","Yes")</f>
        <v>No</v>
      </c>
    </row>
    <row r="43" spans="1:18" ht="43.5" x14ac:dyDescent="0.35">
      <c r="C43" s="24" t="s">
        <v>380</v>
      </c>
      <c r="D43" s="81" t="s">
        <v>377</v>
      </c>
      <c r="M43" s="52"/>
      <c r="P43" s="12" t="str">
        <f>IF(COUNTA(K43:O43)=0,"No","Yes")</f>
        <v>No</v>
      </c>
    </row>
    <row r="44" spans="1:18" x14ac:dyDescent="0.35">
      <c r="A44" s="22"/>
      <c r="B44" s="22"/>
      <c r="C44" s="26" t="s">
        <v>304</v>
      </c>
      <c r="D44" s="54"/>
      <c r="E44" s="29" t="str">
        <f>IF(D44=FR1_IAC!$M$1,FR1_IAC!$L$1,(IF(D44=FR1_IAC!$M$2,FR1_IAC!$L$2,(IF(D44=FR1_IAC!$M$3,FR1_IAC!$L$3,(IF(D44=FR1_IAC!$M$4,FR1_IAC!$L$4,FR1_IAC!$L$5)))))))</f>
        <v/>
      </c>
      <c r="G44" s="4">
        <v>2</v>
      </c>
      <c r="H44" s="4">
        <v>3</v>
      </c>
      <c r="I44" s="4">
        <v>4</v>
      </c>
      <c r="J44">
        <f>MIN(F44:I44)</f>
        <v>2</v>
      </c>
      <c r="K44"/>
      <c r="M44" s="52"/>
      <c r="P44" s="12" t="str">
        <f>IF(COUNTA(K43:O43)=0,"No","Yes")</f>
        <v>No</v>
      </c>
    </row>
    <row r="45" spans="1:18" x14ac:dyDescent="0.35">
      <c r="A45" s="2" t="s">
        <v>318</v>
      </c>
      <c r="B45" s="25" t="s">
        <v>381</v>
      </c>
      <c r="C45" s="25" t="s">
        <v>382</v>
      </c>
      <c r="D45" s="52" t="s">
        <v>321</v>
      </c>
      <c r="M45" s="52"/>
      <c r="P45" s="12" t="str">
        <f>IF(COUNTA(K46:O46)=0,"No","Yes")</f>
        <v>No</v>
      </c>
    </row>
    <row r="46" spans="1:18" ht="58" x14ac:dyDescent="0.35">
      <c r="C46" s="24" t="s">
        <v>383</v>
      </c>
      <c r="D46" s="55"/>
      <c r="M46" s="52"/>
      <c r="P46" s="12" t="str">
        <f>IF(COUNTA(K46:O46)=0,"No","Yes")</f>
        <v>No</v>
      </c>
    </row>
    <row r="47" spans="1:18" x14ac:dyDescent="0.35">
      <c r="A47" s="22"/>
      <c r="B47" s="22"/>
      <c r="C47" s="26" t="s">
        <v>304</v>
      </c>
      <c r="D47" s="54"/>
      <c r="E47" s="29" t="str">
        <f>IF(D47=FR1_IAC!$M$1,FR1_IAC!$L$1,(IF(D47=FR1_IAC!$M$2,FR1_IAC!$L$2,(IF(D47=FR1_IAC!$M$3,FR1_IAC!$L$3,(IF(D47=FR1_IAC!$M$4,FR1_IAC!$L$4,FR1_IAC!$L$5)))))))</f>
        <v/>
      </c>
      <c r="F47" s="4">
        <v>1</v>
      </c>
      <c r="G47" s="4">
        <v>2</v>
      </c>
      <c r="H47" s="4">
        <v>3</v>
      </c>
      <c r="I47" s="4">
        <v>4</v>
      </c>
      <c r="J47">
        <f>MIN(F47:I47)</f>
        <v>1</v>
      </c>
      <c r="K47"/>
      <c r="M47" s="52"/>
      <c r="P47" s="12" t="str">
        <f>IF(COUNTA(K46:O46)=0,"No","Yes")</f>
        <v>No</v>
      </c>
    </row>
    <row r="48" spans="1:18" x14ac:dyDescent="0.35">
      <c r="A48" s="2" t="s">
        <v>325</v>
      </c>
      <c r="B48" s="25" t="s">
        <v>384</v>
      </c>
      <c r="C48" s="25" t="s">
        <v>385</v>
      </c>
      <c r="D48" s="52" t="s">
        <v>321</v>
      </c>
      <c r="M48" s="52"/>
      <c r="P48" s="12" t="str">
        <f>IF(COUNTA(K49:O49)=0,"No","Yes")</f>
        <v>No</v>
      </c>
    </row>
    <row r="49" spans="1:16" ht="138" customHeight="1" x14ac:dyDescent="0.35">
      <c r="C49" s="24" t="s">
        <v>386</v>
      </c>
      <c r="D49" s="55"/>
      <c r="M49" s="52"/>
      <c r="P49" s="12" t="str">
        <f>IF(COUNTA(K49:O49)=0,"No","Yes")</f>
        <v>No</v>
      </c>
    </row>
    <row r="50" spans="1:16" x14ac:dyDescent="0.35">
      <c r="A50" s="22"/>
      <c r="B50" s="22"/>
      <c r="C50" s="26" t="s">
        <v>304</v>
      </c>
      <c r="D50" s="54"/>
      <c r="E50" s="29" t="str">
        <f>IF(D50=FR1_IAC!$M$1,FR1_IAC!$L$1,(IF(D50=FR1_IAC!$M$2,FR1_IAC!$L$2,(IF(D50=FR1_IAC!$M$3,FR1_IAC!$L$3,(IF(D50=FR1_IAC!$M$4,FR1_IAC!$L$4,FR1_IAC!$L$5)))))))</f>
        <v/>
      </c>
      <c r="H50" s="4">
        <v>3</v>
      </c>
      <c r="I50" s="4">
        <v>4</v>
      </c>
      <c r="J50">
        <f>MIN(F50:I50)</f>
        <v>3</v>
      </c>
      <c r="K50"/>
      <c r="M50" s="52"/>
      <c r="P50" s="12" t="str">
        <f>IF(COUNTA(K49:O49)=0,"No","Yes")</f>
        <v>No</v>
      </c>
    </row>
    <row r="51" spans="1:16" ht="29" x14ac:dyDescent="0.35">
      <c r="A51" s="2" t="s">
        <v>325</v>
      </c>
      <c r="B51" s="25" t="s">
        <v>387</v>
      </c>
      <c r="C51" s="24" t="s">
        <v>388</v>
      </c>
      <c r="D51" s="52" t="s">
        <v>321</v>
      </c>
      <c r="M51" s="52"/>
      <c r="P51" s="12" t="str">
        <f>IF(COUNTA(K52:O52)=0,"No","Yes")</f>
        <v>No</v>
      </c>
    </row>
    <row r="52" spans="1:16" ht="43.5" x14ac:dyDescent="0.35">
      <c r="C52" s="24" t="s">
        <v>389</v>
      </c>
      <c r="D52" s="55"/>
      <c r="M52" s="52"/>
      <c r="P52" s="12" t="str">
        <f>IF(COUNTA(K52:O52)=0,"No","Yes")</f>
        <v>No</v>
      </c>
    </row>
    <row r="53" spans="1:16" x14ac:dyDescent="0.35">
      <c r="A53" s="22"/>
      <c r="B53" s="22"/>
      <c r="C53" s="26" t="s">
        <v>304</v>
      </c>
      <c r="D53" s="54"/>
      <c r="E53" s="29" t="str">
        <f>IF(D53=FR1_IAC!$M$1,FR1_IAC!$L$1,(IF(D53=FR1_IAC!$M$2,FR1_IAC!$L$2,(IF(D53=FR1_IAC!$M$3,FR1_IAC!$L$3,(IF(D53=FR1_IAC!$M$4,FR1_IAC!$L$4,FR1_IAC!$L$5)))))))</f>
        <v/>
      </c>
      <c r="I53" s="4">
        <v>4</v>
      </c>
      <c r="J53">
        <f>MIN(F53:I53)</f>
        <v>4</v>
      </c>
      <c r="K53"/>
      <c r="M53" s="52"/>
      <c r="P53" s="12" t="str">
        <f>IF(COUNTA(K52:O52)=0,"No","Yes")</f>
        <v>No</v>
      </c>
    </row>
    <row r="54" spans="1:16" x14ac:dyDescent="0.35">
      <c r="A54" s="2" t="s">
        <v>318</v>
      </c>
      <c r="B54" s="25" t="s">
        <v>390</v>
      </c>
      <c r="C54" s="25" t="s">
        <v>391</v>
      </c>
      <c r="D54" s="52" t="s">
        <v>321</v>
      </c>
      <c r="M54" s="52"/>
      <c r="P54" s="12" t="str">
        <f>IF(COUNTA(K55:O55)=0,"No","Yes")</f>
        <v>No</v>
      </c>
    </row>
    <row r="55" spans="1:16" ht="43.5" x14ac:dyDescent="0.35">
      <c r="C55" s="24" t="s">
        <v>392</v>
      </c>
      <c r="D55" s="55"/>
      <c r="M55" s="52"/>
      <c r="P55" s="12" t="str">
        <f>IF(COUNTA(K55:O55)=0,"No","Yes")</f>
        <v>No</v>
      </c>
    </row>
    <row r="56" spans="1:16" x14ac:dyDescent="0.35">
      <c r="A56" s="22"/>
      <c r="B56" s="22"/>
      <c r="C56" s="26" t="s">
        <v>304</v>
      </c>
      <c r="D56" s="54"/>
      <c r="E56" s="29" t="str">
        <f>IF(D56=FR1_IAC!$M$1,FR1_IAC!$L$1,(IF(D56=FR1_IAC!$M$2,FR1_IAC!$L$2,(IF(D56=FR1_IAC!$M$3,FR1_IAC!$L$3,(IF(D56=FR1_IAC!$M$4,FR1_IAC!$L$4,FR1_IAC!$L$5)))))))</f>
        <v/>
      </c>
      <c r="G56" s="4">
        <v>2</v>
      </c>
      <c r="H56" s="4">
        <v>3</v>
      </c>
      <c r="I56" s="4">
        <v>4</v>
      </c>
      <c r="J56">
        <f>MIN(F56:I56)</f>
        <v>2</v>
      </c>
      <c r="K56"/>
      <c r="M56" s="52"/>
      <c r="P56" s="12" t="str">
        <f>IF(COUNTA(K55:O55)=0,"No","Yes")</f>
        <v>No</v>
      </c>
    </row>
    <row r="57" spans="1:16" x14ac:dyDescent="0.35">
      <c r="A57" s="2" t="s">
        <v>318</v>
      </c>
      <c r="B57" s="25" t="s">
        <v>393</v>
      </c>
      <c r="C57" s="25" t="s">
        <v>394</v>
      </c>
      <c r="D57" s="52" t="s">
        <v>321</v>
      </c>
      <c r="M57" s="52"/>
      <c r="P57" s="12" t="str">
        <f>IF(COUNTA(K58:O58)=0,"No","Yes")</f>
        <v>No</v>
      </c>
    </row>
    <row r="58" spans="1:16" ht="243.75" customHeight="1" x14ac:dyDescent="0.35">
      <c r="C58" s="24" t="s">
        <v>395</v>
      </c>
      <c r="D58" s="55"/>
      <c r="M58" s="52"/>
      <c r="P58" s="12" t="str">
        <f>IF(COUNTA(K58:O58)=0,"No","Yes")</f>
        <v>No</v>
      </c>
    </row>
    <row r="59" spans="1:16" x14ac:dyDescent="0.35">
      <c r="A59" s="22"/>
      <c r="B59" s="22"/>
      <c r="C59" s="26" t="s">
        <v>304</v>
      </c>
      <c r="D59" s="54"/>
      <c r="E59" s="29" t="str">
        <f>IF(D59=FR1_IAC!$M$1,FR1_IAC!$L$1,(IF(D59=FR1_IAC!$M$2,FR1_IAC!$L$2,(IF(D59=FR1_IAC!$M$3,FR1_IAC!$L$3,(IF(D59=FR1_IAC!$M$4,FR1_IAC!$L$4,FR1_IAC!$L$5)))))))</f>
        <v/>
      </c>
      <c r="G59" s="4">
        <v>2</v>
      </c>
      <c r="H59" s="4">
        <v>3</v>
      </c>
      <c r="I59" s="4">
        <v>4</v>
      </c>
      <c r="J59">
        <f>MIN(F59:I59)</f>
        <v>2</v>
      </c>
      <c r="K59"/>
      <c r="M59" s="52"/>
      <c r="P59" s="12" t="str">
        <f>IF(COUNTA(K58:O58)=0,"No","Yes")</f>
        <v>No</v>
      </c>
    </row>
    <row r="60" spans="1:16" x14ac:dyDescent="0.35">
      <c r="A60" s="2" t="s">
        <v>325</v>
      </c>
      <c r="B60" s="25" t="s">
        <v>396</v>
      </c>
      <c r="C60" s="25" t="s">
        <v>397</v>
      </c>
      <c r="D60" s="52" t="s">
        <v>321</v>
      </c>
      <c r="M60" s="52"/>
      <c r="P60" s="12" t="str">
        <f>IF(COUNTA(K61:O61)=0,"No","Yes")</f>
        <v>No</v>
      </c>
    </row>
    <row r="61" spans="1:16" ht="43.5" x14ac:dyDescent="0.35">
      <c r="C61" s="24" t="s">
        <v>398</v>
      </c>
      <c r="D61" s="55"/>
      <c r="M61" s="52"/>
      <c r="P61" s="12" t="str">
        <f>IF(COUNTA(K61:O61)=0,"No","Yes")</f>
        <v>No</v>
      </c>
    </row>
    <row r="62" spans="1:16" x14ac:dyDescent="0.35">
      <c r="A62" s="22"/>
      <c r="B62" s="22"/>
      <c r="C62" s="26" t="s">
        <v>304</v>
      </c>
      <c r="D62" s="54"/>
      <c r="E62" s="29" t="str">
        <f>IF(D62=FR1_IAC!$M$1,FR1_IAC!$L$1,(IF(D62=FR1_IAC!$M$2,FR1_IAC!$L$2,(IF(D62=FR1_IAC!$M$3,FR1_IAC!$L$3,(IF(D62=FR1_IAC!$M$4,FR1_IAC!$L$4,FR1_IAC!$L$5)))))))</f>
        <v/>
      </c>
      <c r="H62" s="4">
        <v>3</v>
      </c>
      <c r="I62" s="4">
        <v>4</v>
      </c>
      <c r="J62">
        <f>MIN(F62:I62)</f>
        <v>3</v>
      </c>
      <c r="K62"/>
      <c r="M62" s="52"/>
      <c r="P62" s="12" t="str">
        <f>IF(COUNTA(K61:O61)=0,"No","Yes")</f>
        <v>No</v>
      </c>
    </row>
    <row r="63" spans="1:16" x14ac:dyDescent="0.35">
      <c r="A63" s="2" t="s">
        <v>318</v>
      </c>
      <c r="B63" s="25" t="s">
        <v>399</v>
      </c>
      <c r="C63" s="25" t="s">
        <v>400</v>
      </c>
      <c r="D63" s="52" t="s">
        <v>321</v>
      </c>
      <c r="M63" s="52"/>
      <c r="P63" s="12" t="str">
        <f>IF(COUNTA(K64:O64)=0,"No","Yes")</f>
        <v>No</v>
      </c>
    </row>
    <row r="64" spans="1:16" ht="43.5" x14ac:dyDescent="0.35">
      <c r="C64" s="24" t="s">
        <v>401</v>
      </c>
      <c r="D64" s="55"/>
      <c r="M64" s="52"/>
      <c r="P64" s="12" t="str">
        <f>IF(COUNTA(K64:O64)=0,"No","Yes")</f>
        <v>No</v>
      </c>
    </row>
    <row r="65" spans="1:16" x14ac:dyDescent="0.35">
      <c r="A65" s="22"/>
      <c r="B65" s="22"/>
      <c r="C65" s="26" t="s">
        <v>304</v>
      </c>
      <c r="D65" s="54"/>
      <c r="E65" s="29" t="str">
        <f>IF(D65=FR1_IAC!$M$1,FR1_IAC!$L$1,(IF(D65=FR1_IAC!$M$2,FR1_IAC!$L$2,(IF(D65=FR1_IAC!$M$3,FR1_IAC!$L$3,(IF(D65=FR1_IAC!$M$4,FR1_IAC!$L$4,FR1_IAC!$L$5)))))))</f>
        <v/>
      </c>
      <c r="F65" s="4">
        <v>1</v>
      </c>
      <c r="G65" s="4">
        <v>2</v>
      </c>
      <c r="H65" s="4">
        <v>3</v>
      </c>
      <c r="I65" s="4">
        <v>4</v>
      </c>
      <c r="J65">
        <f>MIN(F65:I65)</f>
        <v>1</v>
      </c>
      <c r="K65"/>
      <c r="M65" s="52"/>
      <c r="P65" s="12" t="str">
        <f>IF(COUNTA(K64:O64)=0,"No","Yes")</f>
        <v>No</v>
      </c>
    </row>
    <row r="66" spans="1:16" x14ac:dyDescent="0.35">
      <c r="A66" s="2" t="s">
        <v>318</v>
      </c>
      <c r="B66" s="25" t="s">
        <v>402</v>
      </c>
      <c r="C66" s="25" t="s">
        <v>403</v>
      </c>
      <c r="D66" s="52" t="s">
        <v>321</v>
      </c>
      <c r="M66" s="52"/>
      <c r="P66" s="12" t="str">
        <f>IF(COUNTA(K67:O67)=0,"No","Yes")</f>
        <v>No</v>
      </c>
    </row>
    <row r="67" spans="1:16" ht="130.5" x14ac:dyDescent="0.35">
      <c r="C67" s="24" t="s">
        <v>404</v>
      </c>
      <c r="D67" s="55"/>
      <c r="M67" s="52"/>
      <c r="P67" s="12" t="str">
        <f>IF(COUNTA(K67:O67)=0,"No","Yes")</f>
        <v>No</v>
      </c>
    </row>
    <row r="68" spans="1:16" x14ac:dyDescent="0.35">
      <c r="A68" s="22"/>
      <c r="B68" s="22"/>
      <c r="C68" s="26" t="s">
        <v>304</v>
      </c>
      <c r="D68" s="54"/>
      <c r="E68" s="29" t="str">
        <f>IF(D68=FR1_IAC!$M$1,FR1_IAC!$L$1,(IF(D68=FR1_IAC!$M$2,FR1_IAC!$L$2,(IF(D68=FR1_IAC!$M$3,FR1_IAC!$L$3,(IF(D68=FR1_IAC!$M$4,FR1_IAC!$L$4,FR1_IAC!$L$5)))))))</f>
        <v/>
      </c>
      <c r="F68" s="4">
        <v>1</v>
      </c>
      <c r="G68" s="4">
        <v>2</v>
      </c>
      <c r="H68" s="4">
        <v>3</v>
      </c>
      <c r="I68" s="4">
        <v>4</v>
      </c>
      <c r="J68">
        <f>MIN(F68:I68)</f>
        <v>1</v>
      </c>
      <c r="K68"/>
      <c r="M68" s="52"/>
      <c r="P68" s="12" t="str">
        <f>IF(COUNTA(K67:O67)=0,"No","Yes")</f>
        <v>No</v>
      </c>
    </row>
    <row r="69" spans="1:16" x14ac:dyDescent="0.35">
      <c r="A69" s="2" t="s">
        <v>318</v>
      </c>
      <c r="B69" s="25" t="s">
        <v>405</v>
      </c>
      <c r="C69" s="25" t="s">
        <v>406</v>
      </c>
      <c r="D69" s="52" t="s">
        <v>321</v>
      </c>
      <c r="M69" s="52"/>
      <c r="P69" s="12" t="str">
        <f>IF(COUNTA(K70:O70)=0,"No","Yes")</f>
        <v>No</v>
      </c>
    </row>
    <row r="70" spans="1:16" ht="58" x14ac:dyDescent="0.35">
      <c r="C70" s="24" t="s">
        <v>407</v>
      </c>
      <c r="D70" s="55"/>
      <c r="M70" s="52"/>
      <c r="P70" s="12" t="str">
        <f>IF(COUNTA(K70:O70)=0,"No","Yes")</f>
        <v>No</v>
      </c>
    </row>
    <row r="71" spans="1:16" x14ac:dyDescent="0.35">
      <c r="A71" s="22"/>
      <c r="B71" s="22"/>
      <c r="C71" s="26" t="s">
        <v>304</v>
      </c>
      <c r="D71" s="54"/>
      <c r="E71" s="29" t="str">
        <f>IF(D71=FR1_IAC!$M$1,FR1_IAC!$L$1,(IF(D71=FR1_IAC!$M$2,FR1_IAC!$L$2,(IF(D71=FR1_IAC!$M$3,FR1_IAC!$L$3,(IF(D71=FR1_IAC!$M$4,FR1_IAC!$L$4,FR1_IAC!$L$5)))))))</f>
        <v/>
      </c>
      <c r="F71" s="4">
        <v>1</v>
      </c>
      <c r="G71" s="4">
        <v>2</v>
      </c>
      <c r="H71" s="4">
        <v>3</v>
      </c>
      <c r="I71" s="4">
        <v>4</v>
      </c>
      <c r="J71">
        <f>MIN(F71:I71)</f>
        <v>1</v>
      </c>
      <c r="K71"/>
      <c r="M71" s="52"/>
      <c r="P71" s="12" t="str">
        <f>IF(COUNTA(K70:O70)=0,"No","Yes")</f>
        <v>No</v>
      </c>
    </row>
    <row r="72" spans="1:16" x14ac:dyDescent="0.35">
      <c r="A72" s="2" t="s">
        <v>373</v>
      </c>
      <c r="B72" s="25" t="s">
        <v>408</v>
      </c>
      <c r="C72" s="25" t="s">
        <v>409</v>
      </c>
      <c r="D72" s="52" t="s">
        <v>321</v>
      </c>
      <c r="M72" s="52"/>
      <c r="P72" s="12" t="str">
        <f>IF(COUNTA(K73:O73)=0,"No","Yes")</f>
        <v>No</v>
      </c>
    </row>
    <row r="73" spans="1:16" ht="43.5" x14ac:dyDescent="0.35">
      <c r="C73" s="24" t="s">
        <v>410</v>
      </c>
      <c r="D73" s="55"/>
      <c r="M73" s="52"/>
      <c r="P73" s="12" t="str">
        <f>IF(COUNTA(K73:O73)=0,"No","Yes")</f>
        <v>No</v>
      </c>
    </row>
    <row r="74" spans="1:16" x14ac:dyDescent="0.35">
      <c r="A74" s="22"/>
      <c r="B74" s="22"/>
      <c r="C74" s="26" t="s">
        <v>304</v>
      </c>
      <c r="D74" s="54"/>
      <c r="E74" s="29" t="str">
        <f>IF(D74=FR1_IAC!$M$1,FR1_IAC!$L$1,(IF(D74=FR1_IAC!$M$2,FR1_IAC!$L$2,(IF(D74=FR1_IAC!$M$3,FR1_IAC!$L$3,(IF(D74=FR1_IAC!$M$4,FR1_IAC!$L$4,FR1_IAC!$L$5)))))))</f>
        <v/>
      </c>
      <c r="F74" s="4">
        <v>1</v>
      </c>
      <c r="G74" s="4">
        <v>2</v>
      </c>
      <c r="H74" s="4">
        <v>3</v>
      </c>
      <c r="I74" s="4">
        <v>4</v>
      </c>
      <c r="J74">
        <f>MIN(F74:I74)</f>
        <v>1</v>
      </c>
      <c r="K74"/>
      <c r="M74" s="52"/>
      <c r="P74" s="12" t="str">
        <f>IF(COUNTA(K73:O73)=0,"No","Yes")</f>
        <v>No</v>
      </c>
    </row>
    <row r="75" spans="1:16" x14ac:dyDescent="0.35">
      <c r="A75" s="2" t="s">
        <v>378</v>
      </c>
      <c r="B75" s="25" t="s">
        <v>411</v>
      </c>
      <c r="C75" s="25" t="s">
        <v>412</v>
      </c>
      <c r="D75" s="52" t="s">
        <v>321</v>
      </c>
      <c r="M75" s="52"/>
      <c r="P75" s="12" t="str">
        <f>IF(COUNTA(K76:O76)=0,"No","Yes")</f>
        <v>No</v>
      </c>
    </row>
    <row r="76" spans="1:16" ht="43.5" x14ac:dyDescent="0.35">
      <c r="C76" s="24" t="s">
        <v>413</v>
      </c>
      <c r="D76" s="55"/>
      <c r="M76" s="52"/>
      <c r="P76" s="12" t="str">
        <f>IF(COUNTA(K76:O76)=0,"No","Yes")</f>
        <v>No</v>
      </c>
    </row>
    <row r="77" spans="1:16" x14ac:dyDescent="0.35">
      <c r="A77" s="22"/>
      <c r="B77" s="22"/>
      <c r="C77" s="26" t="s">
        <v>324</v>
      </c>
      <c r="D77" s="54"/>
      <c r="E77" s="29" t="str">
        <f>IF(D77=FR1_IAC!$M$1,FR1_IAC!$L$1,(IF(D77=FR1_IAC!$M$2,FR1_IAC!$L$2,(IF(D77=FR1_IAC!$M$3,FR1_IAC!$L$3,(IF(D77=FR1_IAC!$M$4,FR1_IAC!$L$4,FR1_IAC!$L$5)))))))</f>
        <v/>
      </c>
      <c r="H77" s="4">
        <v>3</v>
      </c>
      <c r="I77" s="4">
        <v>4</v>
      </c>
      <c r="J77">
        <f>MIN(F77:I77)</f>
        <v>3</v>
      </c>
      <c r="K77"/>
      <c r="M77" s="52"/>
      <c r="P77" s="12" t="str">
        <f>IF(COUNTA(K76:O76)=0,"No","Yes")</f>
        <v>No</v>
      </c>
    </row>
    <row r="78" spans="1:16" x14ac:dyDescent="0.35">
      <c r="A78" s="2" t="s">
        <v>318</v>
      </c>
      <c r="B78" s="25" t="s">
        <v>414</v>
      </c>
      <c r="C78" s="25" t="s">
        <v>415</v>
      </c>
      <c r="D78" s="52" t="s">
        <v>321</v>
      </c>
      <c r="M78" s="52"/>
      <c r="P78" s="12" t="str">
        <f>IF(COUNTA(K79:O79)=0,"No","Yes")</f>
        <v>No</v>
      </c>
    </row>
    <row r="79" spans="1:16" ht="116" x14ac:dyDescent="0.35">
      <c r="C79" s="24" t="s">
        <v>416</v>
      </c>
      <c r="D79" s="55"/>
      <c r="M79" s="52"/>
      <c r="P79" s="12" t="str">
        <f>IF(COUNTA(K79:O79)=0,"No","Yes")</f>
        <v>No</v>
      </c>
    </row>
    <row r="80" spans="1:16" x14ac:dyDescent="0.35">
      <c r="A80" s="22"/>
      <c r="B80" s="22"/>
      <c r="C80" s="28" t="s">
        <v>324</v>
      </c>
      <c r="D80" s="54"/>
      <c r="E80" s="29" t="str">
        <f>IF(D80=FR1_IAC!$M$1,FR1_IAC!$L$1,(IF(D80=FR1_IAC!$M$2,FR1_IAC!$L$2,(IF(D80=FR1_IAC!$M$3,FR1_IAC!$L$3,(IF(D80=FR1_IAC!$M$4,FR1_IAC!$L$4,FR1_IAC!$L$5)))))))</f>
        <v/>
      </c>
      <c r="G80" s="4">
        <v>2</v>
      </c>
      <c r="H80" s="4">
        <v>3</v>
      </c>
      <c r="I80" s="4">
        <v>4</v>
      </c>
      <c r="J80">
        <f>MIN(F80:I80)</f>
        <v>2</v>
      </c>
      <c r="K80"/>
      <c r="M80" s="52"/>
      <c r="P80" s="12" t="str">
        <f>IF(COUNTA(K79:O79)=0,"No","Yes")</f>
        <v>No</v>
      </c>
    </row>
    <row r="81" spans="1:16" x14ac:dyDescent="0.35">
      <c r="A81" s="2" t="s">
        <v>325</v>
      </c>
      <c r="B81" s="25" t="s">
        <v>417</v>
      </c>
      <c r="C81" s="25" t="s">
        <v>418</v>
      </c>
      <c r="D81" s="52" t="s">
        <v>321</v>
      </c>
      <c r="M81" s="52"/>
      <c r="P81" s="12" t="str">
        <f>IF(COUNTA(K82:O82)=0,"No","Yes")</f>
        <v>No</v>
      </c>
    </row>
    <row r="82" spans="1:16" ht="29" x14ac:dyDescent="0.35">
      <c r="C82" s="24" t="s">
        <v>419</v>
      </c>
      <c r="D82" s="55"/>
      <c r="M82" s="52"/>
      <c r="P82" s="12" t="str">
        <f>IF(COUNTA(K82:O82)=0,"No","Yes")</f>
        <v>No</v>
      </c>
    </row>
    <row r="83" spans="1:16" x14ac:dyDescent="0.35">
      <c r="A83" s="22"/>
      <c r="B83" s="22"/>
      <c r="C83" s="26" t="s">
        <v>304</v>
      </c>
      <c r="D83" s="54"/>
      <c r="E83" s="29" t="str">
        <f>IF(D83=FR1_IAC!$M$1,FR1_IAC!$L$1,(IF(D83=FR1_IAC!$M$2,FR1_IAC!$L$2,(IF(D83=FR1_IAC!$M$3,FR1_IAC!$L$3,(IF(D83=FR1_IAC!$M$4,FR1_IAC!$L$4,FR1_IAC!$L$5)))))))</f>
        <v/>
      </c>
      <c r="H83" s="4">
        <v>3</v>
      </c>
      <c r="I83" s="4">
        <v>4</v>
      </c>
      <c r="J83">
        <f>MIN(F83:I83)</f>
        <v>3</v>
      </c>
      <c r="K83"/>
      <c r="M83" s="52"/>
      <c r="P83" s="12" t="str">
        <f>IF(COUNTA(K82:O82)=0,"No","Yes")</f>
        <v>No</v>
      </c>
    </row>
    <row r="87" spans="1:16" customFormat="1" x14ac:dyDescent="0.35">
      <c r="B87" s="2"/>
      <c r="C87" s="14"/>
      <c r="D87" s="12"/>
    </row>
    <row r="88" spans="1:16" customFormat="1" x14ac:dyDescent="0.35">
      <c r="B88" s="2"/>
      <c r="C88" s="14"/>
      <c r="D88" s="12"/>
    </row>
    <row r="89" spans="1:16" customFormat="1" x14ac:dyDescent="0.35">
      <c r="B89" s="2"/>
      <c r="C89" s="14"/>
      <c r="D89" s="12"/>
    </row>
    <row r="90" spans="1:16" customFormat="1" x14ac:dyDescent="0.35">
      <c r="B90" s="2"/>
      <c r="C90" s="14"/>
      <c r="D90" s="12"/>
    </row>
    <row r="91" spans="1:16" customFormat="1" x14ac:dyDescent="0.35">
      <c r="B91" s="2"/>
      <c r="C91" s="14"/>
      <c r="D91" s="12"/>
    </row>
    <row r="92" spans="1:16" customFormat="1" x14ac:dyDescent="0.35">
      <c r="B92" s="2"/>
      <c r="C92" s="14"/>
      <c r="D92" s="12"/>
    </row>
    <row r="93" spans="1:16" customFormat="1" x14ac:dyDescent="0.35">
      <c r="B93" s="2"/>
      <c r="C93" s="14"/>
      <c r="D93" s="12"/>
    </row>
    <row r="94" spans="1:16" customFormat="1" x14ac:dyDescent="0.35">
      <c r="B94" s="2"/>
      <c r="C94" s="14"/>
      <c r="D94" s="12"/>
    </row>
    <row r="95" spans="1:16" customFormat="1" x14ac:dyDescent="0.35">
      <c r="B95" s="2"/>
      <c r="C95" s="14"/>
      <c r="D95" s="12"/>
    </row>
    <row r="96" spans="1:16" customFormat="1" x14ac:dyDescent="0.35">
      <c r="B96" s="2"/>
      <c r="C96" s="14"/>
      <c r="D96" s="12"/>
    </row>
    <row r="97" spans="2:4" customFormat="1" x14ac:dyDescent="0.35">
      <c r="B97" s="2"/>
      <c r="C97" s="14"/>
      <c r="D97" s="12"/>
    </row>
    <row r="98" spans="2:4" customFormat="1" x14ac:dyDescent="0.35">
      <c r="B98" s="2"/>
      <c r="C98" s="14"/>
      <c r="D98" s="12"/>
    </row>
    <row r="99" spans="2:4" customFormat="1" x14ac:dyDescent="0.35">
      <c r="B99" s="2"/>
      <c r="C99" s="14"/>
      <c r="D99" s="12"/>
    </row>
  </sheetData>
  <autoFilter ref="P6:Q83" xr:uid="{00000000-0001-0000-0200-000000000000}"/>
  <dataConsolidate/>
  <phoneticPr fontId="4" type="noConversion"/>
  <conditionalFormatting sqref="E11">
    <cfRule type="cellIs" dxfId="563" priority="82" operator="between">
      <formula>2.75</formula>
      <formula>3</formula>
    </cfRule>
    <cfRule type="cellIs" dxfId="562" priority="85" operator="between">
      <formula>1.75</formula>
      <formula>2.75</formula>
    </cfRule>
    <cfRule type="cellIs" dxfId="561" priority="86" operator="equal">
      <formula>0</formula>
    </cfRule>
  </conditionalFormatting>
  <conditionalFormatting sqref="E14">
    <cfRule type="cellIs" dxfId="560" priority="76" operator="between">
      <formula>2.75</formula>
      <formula>3</formula>
    </cfRule>
    <cfRule type="cellIs" dxfId="559" priority="77" operator="between">
      <formula>1.75</formula>
      <formula>2.75</formula>
    </cfRule>
    <cfRule type="cellIs" dxfId="558" priority="78" operator="equal">
      <formula>0</formula>
    </cfRule>
  </conditionalFormatting>
  <conditionalFormatting sqref="E17">
    <cfRule type="cellIs" dxfId="557" priority="1" operator="between">
      <formula>2.75</formula>
      <formula>3</formula>
    </cfRule>
    <cfRule type="cellIs" dxfId="556" priority="2" operator="between">
      <formula>1.75</formula>
      <formula>2.75</formula>
    </cfRule>
    <cfRule type="cellIs" dxfId="555" priority="3" operator="equal">
      <formula>0</formula>
    </cfRule>
  </conditionalFormatting>
  <conditionalFormatting sqref="E20">
    <cfRule type="cellIs" dxfId="554" priority="70" operator="between">
      <formula>2.75</formula>
      <formula>3</formula>
    </cfRule>
    <cfRule type="cellIs" dxfId="553" priority="71" operator="between">
      <formula>1.75</formula>
      <formula>2.75</formula>
    </cfRule>
    <cfRule type="cellIs" dxfId="552" priority="72" operator="equal">
      <formula>0</formula>
    </cfRule>
  </conditionalFormatting>
  <conditionalFormatting sqref="E23">
    <cfRule type="cellIs" dxfId="551" priority="67" operator="between">
      <formula>2.75</formula>
      <formula>3</formula>
    </cfRule>
    <cfRule type="cellIs" dxfId="550" priority="68" operator="between">
      <formula>1.75</formula>
      <formula>2.75</formula>
    </cfRule>
    <cfRule type="cellIs" dxfId="549" priority="69" operator="equal">
      <formula>0</formula>
    </cfRule>
  </conditionalFormatting>
  <conditionalFormatting sqref="E26">
    <cfRule type="cellIs" dxfId="548" priority="64" operator="between">
      <formula>2.75</formula>
      <formula>3</formula>
    </cfRule>
    <cfRule type="cellIs" dxfId="547" priority="65" operator="between">
      <formula>1.75</formula>
      <formula>2.75</formula>
    </cfRule>
    <cfRule type="cellIs" dxfId="546" priority="66" operator="equal">
      <formula>0</formula>
    </cfRule>
  </conditionalFormatting>
  <conditionalFormatting sqref="E29">
    <cfRule type="cellIs" dxfId="545" priority="61" operator="between">
      <formula>2.75</formula>
      <formula>3</formula>
    </cfRule>
    <cfRule type="cellIs" dxfId="544" priority="62" operator="between">
      <formula>1.75</formula>
      <formula>2.75</formula>
    </cfRule>
    <cfRule type="cellIs" dxfId="543" priority="63" operator="equal">
      <formula>0</formula>
    </cfRule>
  </conditionalFormatting>
  <conditionalFormatting sqref="E35">
    <cfRule type="cellIs" dxfId="542" priority="58" operator="between">
      <formula>2.75</formula>
      <formula>3</formula>
    </cfRule>
    <cfRule type="cellIs" dxfId="541" priority="59" operator="between">
      <formula>1.75</formula>
      <formula>2.75</formula>
    </cfRule>
    <cfRule type="cellIs" dxfId="540" priority="60" operator="equal">
      <formula>0</formula>
    </cfRule>
  </conditionalFormatting>
  <conditionalFormatting sqref="E38">
    <cfRule type="cellIs" dxfId="539" priority="55" operator="between">
      <formula>2.75</formula>
      <formula>3</formula>
    </cfRule>
    <cfRule type="cellIs" dxfId="538" priority="56" operator="between">
      <formula>1.75</formula>
      <formula>2.75</formula>
    </cfRule>
    <cfRule type="cellIs" dxfId="537" priority="57" operator="equal">
      <formula>0</formula>
    </cfRule>
  </conditionalFormatting>
  <conditionalFormatting sqref="E41">
    <cfRule type="cellIs" dxfId="536" priority="52" operator="between">
      <formula>2.75</formula>
      <formula>3</formula>
    </cfRule>
    <cfRule type="cellIs" dxfId="535" priority="53" operator="between">
      <formula>1.75</formula>
      <formula>2.75</formula>
    </cfRule>
    <cfRule type="cellIs" dxfId="534" priority="54" operator="equal">
      <formula>0</formula>
    </cfRule>
  </conditionalFormatting>
  <conditionalFormatting sqref="E44">
    <cfRule type="cellIs" dxfId="533" priority="49" operator="between">
      <formula>2.75</formula>
      <formula>3</formula>
    </cfRule>
    <cfRule type="cellIs" dxfId="532" priority="50" operator="between">
      <formula>1.75</formula>
      <formula>2.75</formula>
    </cfRule>
    <cfRule type="cellIs" dxfId="531" priority="51" operator="equal">
      <formula>0</formula>
    </cfRule>
  </conditionalFormatting>
  <conditionalFormatting sqref="E47">
    <cfRule type="cellIs" dxfId="530" priority="46" operator="between">
      <formula>2.75</formula>
      <formula>3</formula>
    </cfRule>
    <cfRule type="cellIs" dxfId="529" priority="47" operator="between">
      <formula>1.75</formula>
      <formula>2.75</formula>
    </cfRule>
    <cfRule type="cellIs" dxfId="528" priority="48" operator="equal">
      <formula>0</formula>
    </cfRule>
  </conditionalFormatting>
  <conditionalFormatting sqref="E50">
    <cfRule type="cellIs" dxfId="527" priority="43" operator="between">
      <formula>2.75</formula>
      <formula>3</formula>
    </cfRule>
    <cfRule type="cellIs" dxfId="526" priority="44" operator="between">
      <formula>1.75</formula>
      <formula>2.75</formula>
    </cfRule>
    <cfRule type="cellIs" dxfId="525" priority="45" operator="equal">
      <formula>0</formula>
    </cfRule>
  </conditionalFormatting>
  <conditionalFormatting sqref="E53">
    <cfRule type="cellIs" dxfId="524" priority="40" operator="between">
      <formula>2.75</formula>
      <formula>3</formula>
    </cfRule>
    <cfRule type="cellIs" dxfId="523" priority="41" operator="between">
      <formula>1.75</formula>
      <formula>2.75</formula>
    </cfRule>
    <cfRule type="cellIs" dxfId="522" priority="42" operator="equal">
      <formula>0</formula>
    </cfRule>
  </conditionalFormatting>
  <conditionalFormatting sqref="E56">
    <cfRule type="cellIs" dxfId="521" priority="37" operator="between">
      <formula>2.75</formula>
      <formula>3</formula>
    </cfRule>
    <cfRule type="cellIs" dxfId="520" priority="38" operator="between">
      <formula>1.75</formula>
      <formula>2.75</formula>
    </cfRule>
    <cfRule type="cellIs" dxfId="519" priority="39" operator="equal">
      <formula>0</formula>
    </cfRule>
  </conditionalFormatting>
  <conditionalFormatting sqref="E59">
    <cfRule type="cellIs" dxfId="518" priority="34" operator="between">
      <formula>2.75</formula>
      <formula>3</formula>
    </cfRule>
    <cfRule type="cellIs" dxfId="517" priority="35" operator="between">
      <formula>1.75</formula>
      <formula>2.75</formula>
    </cfRule>
    <cfRule type="cellIs" dxfId="516" priority="36" operator="equal">
      <formula>0</formula>
    </cfRule>
  </conditionalFormatting>
  <conditionalFormatting sqref="E62">
    <cfRule type="cellIs" dxfId="515" priority="31" operator="between">
      <formula>2.75</formula>
      <formula>3</formula>
    </cfRule>
    <cfRule type="cellIs" dxfId="514" priority="32" operator="between">
      <formula>1.75</formula>
      <formula>2.75</formula>
    </cfRule>
    <cfRule type="cellIs" dxfId="513" priority="33" operator="equal">
      <formula>0</formula>
    </cfRule>
  </conditionalFormatting>
  <conditionalFormatting sqref="E65">
    <cfRule type="cellIs" dxfId="512" priority="28" operator="between">
      <formula>2.75</formula>
      <formula>3</formula>
    </cfRule>
    <cfRule type="cellIs" dxfId="511" priority="29" operator="between">
      <formula>1.75</formula>
      <formula>2.75</formula>
    </cfRule>
    <cfRule type="cellIs" dxfId="510" priority="30" operator="equal">
      <formula>0</formula>
    </cfRule>
  </conditionalFormatting>
  <conditionalFormatting sqref="E68">
    <cfRule type="cellIs" dxfId="509" priority="25" operator="between">
      <formula>2.75</formula>
      <formula>3</formula>
    </cfRule>
    <cfRule type="cellIs" dxfId="508" priority="26" operator="between">
      <formula>1.75</formula>
      <formula>2.75</formula>
    </cfRule>
    <cfRule type="cellIs" dxfId="507" priority="27" operator="equal">
      <formula>0</formula>
    </cfRule>
  </conditionalFormatting>
  <conditionalFormatting sqref="E71">
    <cfRule type="cellIs" dxfId="506" priority="22" operator="between">
      <formula>2.75</formula>
      <formula>3</formula>
    </cfRule>
    <cfRule type="cellIs" dxfId="505" priority="23" operator="between">
      <formula>1.75</formula>
      <formula>2.75</formula>
    </cfRule>
    <cfRule type="cellIs" dxfId="504" priority="24" operator="equal">
      <formula>0</formula>
    </cfRule>
  </conditionalFormatting>
  <conditionalFormatting sqref="E74">
    <cfRule type="cellIs" dxfId="503" priority="19" operator="between">
      <formula>2.75</formula>
      <formula>3</formula>
    </cfRule>
    <cfRule type="cellIs" dxfId="502" priority="20" operator="between">
      <formula>1.75</formula>
      <formula>2.75</formula>
    </cfRule>
    <cfRule type="cellIs" dxfId="501" priority="21" operator="equal">
      <formula>0</formula>
    </cfRule>
  </conditionalFormatting>
  <conditionalFormatting sqref="E77">
    <cfRule type="cellIs" dxfId="500" priority="16" operator="between">
      <formula>2.75</formula>
      <formula>3</formula>
    </cfRule>
    <cfRule type="cellIs" dxfId="499" priority="17" operator="between">
      <formula>1.75</formula>
      <formula>2.75</formula>
    </cfRule>
    <cfRule type="cellIs" dxfId="498" priority="18" operator="equal">
      <formula>0</formula>
    </cfRule>
  </conditionalFormatting>
  <conditionalFormatting sqref="E80">
    <cfRule type="cellIs" dxfId="497" priority="13" operator="between">
      <formula>2.75</formula>
      <formula>3</formula>
    </cfRule>
    <cfRule type="cellIs" dxfId="496" priority="14" operator="between">
      <formula>1.75</formula>
      <formula>2.75</formula>
    </cfRule>
    <cfRule type="cellIs" dxfId="495" priority="15" operator="equal">
      <formula>0</formula>
    </cfRule>
  </conditionalFormatting>
  <conditionalFormatting sqref="E83">
    <cfRule type="cellIs" dxfId="494" priority="10" operator="between">
      <formula>2.75</formula>
      <formula>3</formula>
    </cfRule>
    <cfRule type="cellIs" dxfId="493" priority="11" operator="between">
      <formula>1.75</formula>
      <formula>2.75</formula>
    </cfRule>
    <cfRule type="cellIs" dxfId="492" priority="12" operator="equal">
      <formula>0</formula>
    </cfRule>
  </conditionalFormatting>
  <conditionalFormatting sqref="F7:I7">
    <cfRule type="cellIs" dxfId="491" priority="4" operator="equal">
      <formula>3</formula>
    </cfRule>
    <cfRule type="cellIs" dxfId="490" priority="5" operator="between">
      <formula>2</formula>
      <formula>3</formula>
    </cfRule>
    <cfRule type="cellIs" dxfId="489" priority="6" operator="between">
      <formula>0</formula>
      <formula>2</formula>
    </cfRule>
  </conditionalFormatting>
  <conditionalFormatting sqref="L1:L4">
    <cfRule type="cellIs" dxfId="488" priority="87" stopIfTrue="1" operator="between">
      <formula>2.75</formula>
      <formula>3</formula>
    </cfRule>
    <cfRule type="cellIs" dxfId="487" priority="88" stopIfTrue="1" operator="between">
      <formula>1.5</formula>
      <formula>2.75</formula>
    </cfRule>
    <cfRule type="cellIs" dxfId="486" priority="89" stopIfTrue="1" operator="between">
      <formula>0</formula>
      <formula>1.5</formula>
    </cfRule>
  </conditionalFormatting>
  <dataValidations count="1">
    <dataValidation type="list" allowBlank="1" showInputMessage="1" showErrorMessage="1" sqref="D11 D14 D17 D20 D23 D26 D29 D35 D41 D44 D47 D50 D53 D56 D59 D62 D65 D68 D71 D74 D77 D80 D83 D38" xr:uid="{00000000-0002-0000-0200-000000000000}">
      <formula1>Rating</formula1>
    </dataValidation>
  </dataValidations>
  <pageMargins left="0.7" right="0.7" top="0.75" bottom="0.75" header="0.3" footer="0.3"/>
  <pageSetup paperSize="9" orientation="portrait" r:id="rId1"/>
  <customProperties>
    <customPr name="_pios_id" r:id="rId2"/>
  </customProperties>
  <ignoredErrors>
    <ignoredError sqref="B72" twoDigitTextYear="1"/>
  </ignoredErrors>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9"/>
  <sheetViews>
    <sheetView zoomScale="90" zoomScaleNormal="90" workbookViewId="0">
      <pane ySplit="7" topLeftCell="A8" activePane="bottomLeft" state="frozen"/>
      <selection pane="bottomLeft" activeCell="C93" sqref="C93"/>
    </sheetView>
  </sheetViews>
  <sheetFormatPr defaultColWidth="8.6328125" defaultRowHeight="14.5" x14ac:dyDescent="0.35"/>
  <cols>
    <col min="2" max="2" width="9.36328125" style="2"/>
    <col min="3" max="3" width="45.453125" style="2" customWidth="1"/>
    <col min="4" max="4" width="45.453125" customWidth="1"/>
    <col min="11" max="11" width="10.6328125" customWidth="1"/>
    <col min="13" max="13" width="11.6328125" bestFit="1" customWidth="1"/>
    <col min="14" max="14" width="11.453125" customWidth="1"/>
  </cols>
  <sheetData>
    <row r="1" spans="1:17" x14ac:dyDescent="0.35">
      <c r="A1" s="1" t="s">
        <v>7</v>
      </c>
      <c r="F1" s="4"/>
      <c r="G1" s="4"/>
      <c r="H1" s="4"/>
      <c r="I1" s="4"/>
      <c r="J1" s="9" t="s">
        <v>88</v>
      </c>
      <c r="K1" s="9">
        <v>3</v>
      </c>
      <c r="L1" t="s">
        <v>301</v>
      </c>
      <c r="M1" s="2"/>
      <c r="N1" s="2"/>
      <c r="O1" s="2"/>
      <c r="P1" s="2"/>
    </row>
    <row r="2" spans="1:17" x14ac:dyDescent="0.35">
      <c r="A2" s="2" t="s">
        <v>8</v>
      </c>
      <c r="F2" s="16" t="s">
        <v>302</v>
      </c>
      <c r="G2" s="4"/>
      <c r="H2" s="4"/>
      <c r="I2" s="4"/>
      <c r="K2" s="9">
        <v>2</v>
      </c>
      <c r="L2" t="s">
        <v>303</v>
      </c>
      <c r="M2" s="2"/>
      <c r="N2" s="2"/>
      <c r="O2" s="2"/>
      <c r="P2" s="2"/>
    </row>
    <row r="3" spans="1:17" x14ac:dyDescent="0.35">
      <c r="A3" s="2" t="s">
        <v>9</v>
      </c>
      <c r="F3" t="s">
        <v>304</v>
      </c>
      <c r="G3" s="4"/>
      <c r="H3" s="4"/>
      <c r="I3" s="4"/>
      <c r="K3" s="9">
        <v>0</v>
      </c>
      <c r="L3" t="s">
        <v>305</v>
      </c>
      <c r="M3" s="2"/>
      <c r="N3" s="2"/>
      <c r="O3" s="2"/>
      <c r="P3" s="2"/>
    </row>
    <row r="4" spans="1:17" x14ac:dyDescent="0.35">
      <c r="A4" s="2" t="s">
        <v>10</v>
      </c>
      <c r="C4" s="2" t="s">
        <v>11</v>
      </c>
      <c r="F4" s="4"/>
      <c r="G4" s="4"/>
      <c r="H4" s="4"/>
      <c r="I4" s="4"/>
      <c r="K4" s="9" t="s">
        <v>306</v>
      </c>
      <c r="L4" t="s">
        <v>307</v>
      </c>
      <c r="M4" s="2"/>
      <c r="N4" s="2"/>
      <c r="O4" s="2"/>
      <c r="P4" s="2"/>
    </row>
    <row r="5" spans="1:17" x14ac:dyDescent="0.35">
      <c r="F5" s="4"/>
      <c r="G5" s="4"/>
      <c r="H5" s="4"/>
      <c r="I5" s="4"/>
      <c r="J5" s="3"/>
      <c r="K5" s="17" t="s">
        <v>32</v>
      </c>
      <c r="L5" s="2"/>
      <c r="M5" s="2"/>
      <c r="N5" s="2"/>
      <c r="O5" s="2"/>
      <c r="P5">
        <v>1</v>
      </c>
    </row>
    <row r="6" spans="1:17" ht="43.5" x14ac:dyDescent="0.35">
      <c r="A6" s="31"/>
      <c r="B6" s="32"/>
      <c r="C6" s="32"/>
      <c r="D6" s="31"/>
      <c r="E6" s="31"/>
      <c r="F6" s="40" t="s">
        <v>23</v>
      </c>
      <c r="G6" s="40" t="s">
        <v>26</v>
      </c>
      <c r="H6" s="40" t="s">
        <v>28</v>
      </c>
      <c r="I6" s="40" t="s">
        <v>30</v>
      </c>
      <c r="J6" s="43" t="s">
        <v>94</v>
      </c>
      <c r="K6" s="61" t="s">
        <v>182</v>
      </c>
      <c r="L6" s="60" t="s">
        <v>308</v>
      </c>
      <c r="M6" s="60" t="s">
        <v>309</v>
      </c>
      <c r="N6" s="60" t="s">
        <v>310</v>
      </c>
      <c r="O6" s="60" t="s">
        <v>311</v>
      </c>
      <c r="P6" s="75" t="s">
        <v>420</v>
      </c>
      <c r="Q6" s="63" t="s">
        <v>313</v>
      </c>
    </row>
    <row r="7" spans="1:17" x14ac:dyDescent="0.35">
      <c r="A7" s="1" t="s">
        <v>421</v>
      </c>
      <c r="F7" s="42">
        <f>IFERROR(AVERAGE(E11,E26,E32,E40,E46,E52,E58,E67,E70,E76,E79,E88),"n/a")</f>
        <v>2</v>
      </c>
      <c r="G7" s="42">
        <f>IFERROR(AVERAGE(E11,E14,E17,E26,E32,E35,E40,E43,E46,E49,E52,E55,E58,E61,E67,E70,E76,E79,E82,E88,E94,E100,E106),"n/a")</f>
        <v>2.3333333333333335</v>
      </c>
      <c r="H7" s="42">
        <f>IFERROR(AVERAGE(E11,E14,E17,E20,E26,E32,E35,E40,E43,E46,E49,E52,E55,E58,E61,E64,E67,E70,E73,E76,E79,E82,E88,E94,E97,E100,E103,E106,E109),"n/a")</f>
        <v>2.3333333333333335</v>
      </c>
      <c r="I7" s="42">
        <f>IFERROR(AVERAGE(E11,E14,E17,E20,E23,E26,E32,E35,E40,E43,E46,E49,E52,E55,E58,E61,E64,E67,E70,E73,E76,E79,E82,E85,E88,E91,E94,E97,E100,E103,E106,E109),"n/a")</f>
        <v>2.3333333333333335</v>
      </c>
      <c r="P7" s="76" t="s">
        <v>315</v>
      </c>
    </row>
    <row r="8" spans="1:17" ht="87" x14ac:dyDescent="0.35">
      <c r="B8" s="18"/>
      <c r="C8" s="18" t="s">
        <v>422</v>
      </c>
      <c r="D8" s="20" t="s">
        <v>317</v>
      </c>
      <c r="P8" s="76" t="s">
        <v>315</v>
      </c>
    </row>
    <row r="9" spans="1:17" x14ac:dyDescent="0.35">
      <c r="A9" s="30" t="s">
        <v>318</v>
      </c>
      <c r="B9" s="23" t="s">
        <v>423</v>
      </c>
      <c r="C9" s="23" t="s">
        <v>424</v>
      </c>
      <c r="D9" s="56" t="s">
        <v>425</v>
      </c>
      <c r="P9" s="76" t="str">
        <f>IF(COUNTA(K10:O10)=0,"No","Yes")</f>
        <v>No</v>
      </c>
    </row>
    <row r="10" spans="1:17" ht="59.25" customHeight="1" x14ac:dyDescent="0.35">
      <c r="C10" s="24" t="s">
        <v>426</v>
      </c>
      <c r="D10" s="19"/>
      <c r="P10" s="76" t="str">
        <f>IF(COUNTA(K10:O10)=0,"No","Yes")</f>
        <v>No</v>
      </c>
    </row>
    <row r="11" spans="1:17" ht="15" thickBot="1" x14ac:dyDescent="0.4">
      <c r="A11" s="29"/>
      <c r="B11" s="22"/>
      <c r="C11" s="26" t="s">
        <v>304</v>
      </c>
      <c r="D11" s="54"/>
      <c r="E11" s="29" t="str">
        <f>IF(D11=FR2_UC!$L$1,FR2_UC!$K$1,(IF(D11=FR2_UC!$L$2,FR2_UC!$K$2,(IF(D11=FR2_UC!$L$3,FR2_UC!$K$3,(IF(D11=FR2_UC!$L$4,FR2_UC!$K$4,FR2_UC!$K$5)))))))</f>
        <v/>
      </c>
      <c r="F11">
        <v>1</v>
      </c>
      <c r="G11">
        <v>2</v>
      </c>
      <c r="H11">
        <v>3</v>
      </c>
      <c r="I11">
        <v>4</v>
      </c>
      <c r="J11">
        <f>MIN(F11:I11)</f>
        <v>1</v>
      </c>
      <c r="P11" s="76" t="str">
        <f>IF(COUNTA(K10:O10)=0,"No","Yes")</f>
        <v>No</v>
      </c>
    </row>
    <row r="12" spans="1:17" ht="29" x14ac:dyDescent="0.35">
      <c r="A12" t="s">
        <v>325</v>
      </c>
      <c r="B12" s="25" t="s">
        <v>427</v>
      </c>
      <c r="C12" s="24" t="s">
        <v>428</v>
      </c>
      <c r="D12" s="5" t="s">
        <v>321</v>
      </c>
      <c r="P12" s="76" t="str">
        <f>IF(COUNTA(K13:O13)=0,"No","Yes")</f>
        <v>No</v>
      </c>
    </row>
    <row r="13" spans="1:17" ht="45.75" customHeight="1" x14ac:dyDescent="0.35">
      <c r="C13" s="24" t="s">
        <v>429</v>
      </c>
      <c r="D13" s="19"/>
      <c r="P13" s="76" t="str">
        <f>IF(COUNTA(K13:O13)=0,"No","Yes")</f>
        <v>No</v>
      </c>
    </row>
    <row r="14" spans="1:17" ht="15" thickBot="1" x14ac:dyDescent="0.4">
      <c r="A14" s="29"/>
      <c r="B14" s="22"/>
      <c r="C14" s="26" t="s">
        <v>304</v>
      </c>
      <c r="D14" s="54"/>
      <c r="E14" s="29" t="str">
        <f>IF(D14=FR2_UC!$L$1,FR2_UC!$K$1,(IF(D14=FR2_UC!$L$2,FR2_UC!$K$2,(IF(D14=FR2_UC!$L$3,FR2_UC!$K$3,(IF(D14=FR2_UC!$L$4,FR2_UC!$K$4,FR2_UC!$K$5)))))))</f>
        <v/>
      </c>
      <c r="G14">
        <v>2</v>
      </c>
      <c r="H14">
        <v>3</v>
      </c>
      <c r="I14">
        <v>4</v>
      </c>
      <c r="J14">
        <f>MIN(F14:I14)</f>
        <v>2</v>
      </c>
      <c r="P14" s="76" t="str">
        <f>IF(COUNTA(K13:O13)=0,"No","Yes")</f>
        <v>No</v>
      </c>
    </row>
    <row r="15" spans="1:17" x14ac:dyDescent="0.35">
      <c r="A15" t="s">
        <v>325</v>
      </c>
      <c r="B15" s="25" t="s">
        <v>430</v>
      </c>
      <c r="C15" s="25" t="s">
        <v>431</v>
      </c>
      <c r="D15" s="5" t="s">
        <v>321</v>
      </c>
      <c r="P15" s="76" t="str">
        <f>IF(COUNTA(K16:O16)=0,"No","Yes")</f>
        <v>No</v>
      </c>
    </row>
    <row r="16" spans="1:17" ht="167.25" customHeight="1" x14ac:dyDescent="0.35">
      <c r="C16" s="24" t="s">
        <v>432</v>
      </c>
      <c r="D16" s="19"/>
      <c r="P16" s="76" t="str">
        <f>IF(COUNTA(K16:O16)=0,"No","Yes")</f>
        <v>No</v>
      </c>
    </row>
    <row r="17" spans="1:16" ht="15" thickBot="1" x14ac:dyDescent="0.4">
      <c r="A17" s="29"/>
      <c r="B17" s="22"/>
      <c r="C17" s="26" t="s">
        <v>304</v>
      </c>
      <c r="D17" s="54"/>
      <c r="E17" s="29" t="str">
        <f>IF(D17=FR2_UC!$L$1,FR2_UC!$K$1,(IF(D17=FR2_UC!$L$2,FR2_UC!$K$2,(IF(D17=FR2_UC!$L$3,FR2_UC!$K$3,(IF(D17=FR2_UC!$L$4,FR2_UC!$K$4,FR2_UC!$K$5)))))))</f>
        <v/>
      </c>
      <c r="G17">
        <v>2</v>
      </c>
      <c r="H17">
        <v>3</v>
      </c>
      <c r="I17">
        <v>4</v>
      </c>
      <c r="J17">
        <f>MIN(F17:I17)</f>
        <v>2</v>
      </c>
      <c r="P17" s="76" t="str">
        <f>IF(COUNTA(K16:O16)=0,"No","Yes")</f>
        <v>No</v>
      </c>
    </row>
    <row r="18" spans="1:16" x14ac:dyDescent="0.35">
      <c r="A18" t="s">
        <v>325</v>
      </c>
      <c r="B18" s="25" t="s">
        <v>433</v>
      </c>
      <c r="C18" s="25" t="s">
        <v>434</v>
      </c>
      <c r="D18" s="5" t="s">
        <v>321</v>
      </c>
      <c r="P18" s="76" t="str">
        <f>IF(COUNTA(K19:O19)=0,"No","Yes")</f>
        <v>No</v>
      </c>
    </row>
    <row r="19" spans="1:16" ht="145" x14ac:dyDescent="0.35">
      <c r="C19" s="24" t="s">
        <v>435</v>
      </c>
      <c r="D19" s="19"/>
      <c r="P19" s="76" t="str">
        <f>IF(COUNTA(K19:O19)=0,"No","Yes")</f>
        <v>No</v>
      </c>
    </row>
    <row r="20" spans="1:16" ht="15" thickBot="1" x14ac:dyDescent="0.4">
      <c r="A20" s="29"/>
      <c r="B20" s="22"/>
      <c r="C20" s="26" t="s">
        <v>304</v>
      </c>
      <c r="D20" s="54"/>
      <c r="E20" s="29" t="str">
        <f>IF(D20=FR2_UC!$L$1,FR2_UC!$K$1,(IF(D20=FR2_UC!$L$2,FR2_UC!$K$2,(IF(D20=FR2_UC!$L$3,FR2_UC!$K$3,(IF(D20=FR2_UC!$L$4,FR2_UC!$K$4,FR2_UC!$K$5)))))))</f>
        <v/>
      </c>
      <c r="H20">
        <v>3</v>
      </c>
      <c r="I20">
        <v>4</v>
      </c>
      <c r="J20">
        <f>MIN(F20:I20)</f>
        <v>3</v>
      </c>
      <c r="P20" s="76" t="str">
        <f>IF(COUNTA(K19:O19)=0,"No","Yes")</f>
        <v>No</v>
      </c>
    </row>
    <row r="21" spans="1:16" x14ac:dyDescent="0.35">
      <c r="A21" t="s">
        <v>325</v>
      </c>
      <c r="B21" s="25" t="s">
        <v>436</v>
      </c>
      <c r="C21" s="25" t="s">
        <v>437</v>
      </c>
      <c r="D21" s="5" t="s">
        <v>321</v>
      </c>
      <c r="P21" s="76" t="str">
        <f>IF(COUNTA(K22:O22)=0,"No","Yes")</f>
        <v>No</v>
      </c>
    </row>
    <row r="22" spans="1:16" ht="243" customHeight="1" x14ac:dyDescent="0.35">
      <c r="C22" s="24" t="s">
        <v>438</v>
      </c>
      <c r="D22" s="19"/>
      <c r="P22" s="76" t="str">
        <f>IF(COUNTA(K22:O22)=0,"No","Yes")</f>
        <v>No</v>
      </c>
    </row>
    <row r="23" spans="1:16" ht="15" thickBot="1" x14ac:dyDescent="0.4">
      <c r="A23" s="29"/>
      <c r="B23" s="22"/>
      <c r="C23" s="26" t="s">
        <v>304</v>
      </c>
      <c r="D23" s="54"/>
      <c r="E23" s="29" t="str">
        <f>IF(D23=FR2_UC!$L$1,FR2_UC!$K$1,(IF(D23=FR2_UC!$L$2,FR2_UC!$K$2,(IF(D23=FR2_UC!$L$3,FR2_UC!$K$3,(IF(D23=FR2_UC!$L$4,FR2_UC!$K$4,FR2_UC!$K$5)))))))</f>
        <v/>
      </c>
      <c r="I23">
        <v>4</v>
      </c>
      <c r="J23">
        <f>MIN(F23:I23)</f>
        <v>4</v>
      </c>
      <c r="P23" s="76" t="str">
        <f>IF(COUNTA(K22:O22)=0,"No","Yes")</f>
        <v>No</v>
      </c>
    </row>
    <row r="24" spans="1:16" x14ac:dyDescent="0.35">
      <c r="A24" t="s">
        <v>318</v>
      </c>
      <c r="B24" s="25" t="s">
        <v>439</v>
      </c>
      <c r="C24" s="25" t="s">
        <v>440</v>
      </c>
      <c r="D24" s="5" t="s">
        <v>321</v>
      </c>
      <c r="P24" s="76" t="str">
        <f>IF(COUNTA(K25:O25)=0,"No","Yes")</f>
        <v>No</v>
      </c>
    </row>
    <row r="25" spans="1:16" ht="58" x14ac:dyDescent="0.35">
      <c r="C25" s="24" t="s">
        <v>441</v>
      </c>
      <c r="D25" s="19"/>
      <c r="P25" s="76" t="str">
        <f>IF(COUNTA(K25:O25)=0,"No","Yes")</f>
        <v>No</v>
      </c>
    </row>
    <row r="26" spans="1:16" ht="15" thickBot="1" x14ac:dyDescent="0.4">
      <c r="A26" s="29"/>
      <c r="B26" s="22"/>
      <c r="C26" s="26" t="s">
        <v>304</v>
      </c>
      <c r="D26" s="54"/>
      <c r="E26" s="29" t="str">
        <f>IF(D26=FR2_UC!$L$1,FR2_UC!$K$1,(IF(D26=FR2_UC!$L$2,FR2_UC!$K$2,(IF(D26=FR2_UC!$L$3,FR2_UC!$K$3,(IF(D26=FR2_UC!$L$4,FR2_UC!$K$4,FR2_UC!$K$5)))))))</f>
        <v/>
      </c>
      <c r="F26">
        <v>1</v>
      </c>
      <c r="G26">
        <v>2</v>
      </c>
      <c r="H26">
        <v>3</v>
      </c>
      <c r="I26">
        <v>4</v>
      </c>
      <c r="J26">
        <f>MIN(F26:I26)</f>
        <v>1</v>
      </c>
      <c r="P26" s="76" t="str">
        <f>IF(COUNTA(K25:O25)=0,"No","Yes")</f>
        <v>No</v>
      </c>
    </row>
    <row r="27" spans="1:16" x14ac:dyDescent="0.35">
      <c r="A27" t="s">
        <v>318</v>
      </c>
      <c r="B27" s="25" t="s">
        <v>442</v>
      </c>
      <c r="C27" s="25" t="s">
        <v>443</v>
      </c>
      <c r="D27" s="5" t="s">
        <v>321</v>
      </c>
      <c r="P27" s="76" t="str">
        <f>IF(COUNTA(K28:O28)=0,"No","Yes")</f>
        <v>No</v>
      </c>
    </row>
    <row r="28" spans="1:16" ht="29" x14ac:dyDescent="0.35">
      <c r="C28" s="24" t="s">
        <v>444</v>
      </c>
      <c r="D28" s="19"/>
      <c r="P28" s="76" t="str">
        <f>IF(COUNTA(K28:O28)=0,"No","Yes")</f>
        <v>No</v>
      </c>
    </row>
    <row r="29" spans="1:16" ht="15" thickBot="1" x14ac:dyDescent="0.4">
      <c r="A29" s="33"/>
      <c r="B29" s="34"/>
      <c r="C29" s="35" t="s">
        <v>445</v>
      </c>
      <c r="D29" s="54"/>
      <c r="E29" s="33" t="str">
        <f>IF(D29=FR2_UC!$L$1,FR2_UC!$K$1,(IF(D29=FR2_UC!$L$2,FR2_UC!$K$2,(IF(D29=FR2_UC!$L$3,FR2_UC!$K$3,(IF(D29=FR2_UC!$L$4,FR2_UC!$K$4,FR2_UC!$K$5)))))))</f>
        <v/>
      </c>
      <c r="J29">
        <f>MIN(F29:I29)</f>
        <v>0</v>
      </c>
      <c r="P29" s="76" t="str">
        <f>IF(COUNTA(K28:O28)=0,"No","Yes")</f>
        <v>No</v>
      </c>
    </row>
    <row r="30" spans="1:16" x14ac:dyDescent="0.35">
      <c r="A30" s="30" t="s">
        <v>446</v>
      </c>
      <c r="B30" s="23" t="s">
        <v>447</v>
      </c>
      <c r="C30" s="23" t="s">
        <v>448</v>
      </c>
      <c r="D30" s="56" t="s">
        <v>321</v>
      </c>
      <c r="E30" s="30"/>
      <c r="P30" s="76" t="str">
        <f>IF(COUNTA(K31:O31)=0,"No","Yes")</f>
        <v>No</v>
      </c>
    </row>
    <row r="31" spans="1:16" ht="224.25" customHeight="1" x14ac:dyDescent="0.35">
      <c r="C31" s="24" t="s">
        <v>449</v>
      </c>
      <c r="D31" s="19"/>
      <c r="P31" s="76" t="str">
        <f>IF(COUNTA(K31:O31)=0,"No","Yes")</f>
        <v>No</v>
      </c>
    </row>
    <row r="32" spans="1:16" ht="15" thickBot="1" x14ac:dyDescent="0.4">
      <c r="A32" s="29"/>
      <c r="B32" s="22"/>
      <c r="C32" s="26" t="s">
        <v>304</v>
      </c>
      <c r="D32" s="54"/>
      <c r="E32" s="29" t="str">
        <f>IF(D32=FR2_UC!$L$1,FR2_UC!$K$1,(IF(D32=FR2_UC!$L$2,FR2_UC!$K$2,(IF(D32=FR2_UC!$L$3,FR2_UC!$K$3,(IF(D32=FR2_UC!$L$4,FR2_UC!$K$4,FR2_UC!$K$5)))))))</f>
        <v/>
      </c>
      <c r="F32">
        <v>1</v>
      </c>
      <c r="G32">
        <v>2</v>
      </c>
      <c r="H32">
        <v>3</v>
      </c>
      <c r="I32">
        <v>4</v>
      </c>
      <c r="J32">
        <f>MIN(F32:I32)</f>
        <v>1</v>
      </c>
      <c r="P32" s="76" t="str">
        <f>IF(COUNTA(K31:O31)=0,"No","Yes")</f>
        <v>No</v>
      </c>
    </row>
    <row r="33" spans="1:17" x14ac:dyDescent="0.35">
      <c r="A33" t="s">
        <v>450</v>
      </c>
      <c r="B33" s="25" t="s">
        <v>451</v>
      </c>
      <c r="C33" s="25" t="s">
        <v>452</v>
      </c>
      <c r="D33" s="5" t="s">
        <v>321</v>
      </c>
      <c r="P33" s="76" t="str">
        <f>IF(COUNTA(K34:O34)=0,"No","Yes")</f>
        <v>No</v>
      </c>
    </row>
    <row r="34" spans="1:17" ht="72.5" x14ac:dyDescent="0.35">
      <c r="C34" s="24" t="s">
        <v>453</v>
      </c>
      <c r="D34" s="19"/>
      <c r="P34" s="76" t="str">
        <f>IF(COUNTA(K34:O34)=0,"No","Yes")</f>
        <v>No</v>
      </c>
    </row>
    <row r="35" spans="1:17" ht="15" thickBot="1" x14ac:dyDescent="0.4">
      <c r="A35" s="29"/>
      <c r="B35" s="22"/>
      <c r="C35" s="26" t="s">
        <v>304</v>
      </c>
      <c r="D35" s="54"/>
      <c r="E35" s="29" t="str">
        <f>IF(D35=FR2_UC!$L$1,FR2_UC!$K$1,(IF(D35=FR2_UC!$L$2,FR2_UC!$K$2,(IF(D35=FR2_UC!$L$3,FR2_UC!$K$3,(IF(D35=FR2_UC!$L$4,FR2_UC!$K$4,FR2_UC!$K$5)))))))</f>
        <v/>
      </c>
      <c r="G35">
        <v>2</v>
      </c>
      <c r="H35">
        <v>3</v>
      </c>
      <c r="I35">
        <v>4</v>
      </c>
      <c r="J35">
        <f>MIN(F35:I35)</f>
        <v>2</v>
      </c>
      <c r="P35" s="76" t="str">
        <f>IF(COUNTA(K34:O34)=0,"No","Yes")</f>
        <v>No</v>
      </c>
    </row>
    <row r="36" spans="1:17" x14ac:dyDescent="0.35">
      <c r="A36" t="s">
        <v>454</v>
      </c>
      <c r="B36" s="25" t="s">
        <v>447</v>
      </c>
      <c r="C36" s="25" t="s">
        <v>448</v>
      </c>
      <c r="D36" s="5" t="s">
        <v>321</v>
      </c>
      <c r="P36" s="76" t="s">
        <v>105</v>
      </c>
    </row>
    <row r="37" spans="1:17" ht="159.5" x14ac:dyDescent="0.35">
      <c r="B37" s="14" t="s">
        <v>455</v>
      </c>
      <c r="C37" s="66" t="s">
        <v>456</v>
      </c>
      <c r="D37" s="85" t="s">
        <v>457</v>
      </c>
      <c r="K37" s="5"/>
      <c r="P37" s="76" t="s">
        <v>105</v>
      </c>
    </row>
    <row r="38" spans="1:17" ht="101.5" x14ac:dyDescent="0.35">
      <c r="B38" s="14" t="s">
        <v>458</v>
      </c>
      <c r="C38" s="66" t="s">
        <v>459</v>
      </c>
      <c r="D38" s="85"/>
      <c r="K38" s="5"/>
      <c r="P38" s="76" t="s">
        <v>105</v>
      </c>
    </row>
    <row r="39" spans="1:17" ht="87" x14ac:dyDescent="0.35">
      <c r="B39" s="14" t="s">
        <v>460</v>
      </c>
      <c r="C39" s="66" t="s">
        <v>461</v>
      </c>
      <c r="D39" s="85"/>
      <c r="K39" s="5"/>
      <c r="P39" s="76" t="s">
        <v>105</v>
      </c>
    </row>
    <row r="40" spans="1:17" ht="29.5" thickBot="1" x14ac:dyDescent="0.4">
      <c r="A40" s="29"/>
      <c r="B40" s="22"/>
      <c r="C40" s="26" t="s">
        <v>304</v>
      </c>
      <c r="D40" s="54" t="s">
        <v>303</v>
      </c>
      <c r="E40" s="29">
        <f>IF(D40=FR2_UC!$L$1,FR2_UC!$K$1,(IF(D40=FR2_UC!$L$2,FR2_UC!$K$2,(IF(D40=FR2_UC!$L$3,FR2_UC!$K$3,(IF(D40=FR2_UC!$L$4,FR2_UC!$K$4,FR2_UC!$K$5)))))))</f>
        <v>2</v>
      </c>
      <c r="F40">
        <v>1</v>
      </c>
      <c r="G40">
        <v>2</v>
      </c>
      <c r="H40">
        <v>3</v>
      </c>
      <c r="I40">
        <v>4</v>
      </c>
      <c r="J40">
        <f>MIN(F40:I40)</f>
        <v>1</v>
      </c>
      <c r="P40" s="76" t="str">
        <f>IF(COUNTA(K37:O37)=0,"No","Yes")</f>
        <v>No</v>
      </c>
    </row>
    <row r="41" spans="1:17" x14ac:dyDescent="0.35">
      <c r="A41" t="s">
        <v>462</v>
      </c>
      <c r="B41" s="25" t="s">
        <v>451</v>
      </c>
      <c r="C41" s="25" t="s">
        <v>452</v>
      </c>
      <c r="D41" s="5" t="s">
        <v>321</v>
      </c>
      <c r="P41" s="76" t="str">
        <f>IF(COUNTA(K42:O42)=0,"No","Yes")</f>
        <v>No</v>
      </c>
      <c r="Q41" t="s">
        <v>315</v>
      </c>
    </row>
    <row r="42" spans="1:17" ht="72.5" x14ac:dyDescent="0.35">
      <c r="C42" s="24" t="s">
        <v>463</v>
      </c>
      <c r="D42" s="19"/>
      <c r="P42" s="76" t="str">
        <f>IF(COUNTA(K42:O42)=0,"No","Yes")</f>
        <v>No</v>
      </c>
      <c r="Q42" t="s">
        <v>315</v>
      </c>
    </row>
    <row r="43" spans="1:17" ht="29.5" thickBot="1" x14ac:dyDescent="0.4">
      <c r="A43" s="29"/>
      <c r="B43" s="22"/>
      <c r="C43" s="26" t="s">
        <v>304</v>
      </c>
      <c r="D43" s="54" t="s">
        <v>303</v>
      </c>
      <c r="E43" s="29">
        <f>IF(D43=FR2_UC!$L$1,FR2_UC!$K$1,(IF(D43=FR2_UC!$L$2,FR2_UC!$K$2,(IF(D43=FR2_UC!$L$3,FR2_UC!$K$3,(IF(D43=FR2_UC!$L$4,FR2_UC!$K$4,FR2_UC!$K$5)))))))</f>
        <v>2</v>
      </c>
      <c r="G43">
        <v>2</v>
      </c>
      <c r="H43">
        <v>3</v>
      </c>
      <c r="I43">
        <v>4</v>
      </c>
      <c r="J43">
        <f>MIN(F43:I43)</f>
        <v>2</v>
      </c>
      <c r="P43" s="76" t="str">
        <f>IF(COUNTA(K42:O42)=0,"No","Yes")</f>
        <v>No</v>
      </c>
      <c r="Q43" t="s">
        <v>315</v>
      </c>
    </row>
    <row r="44" spans="1:17" x14ac:dyDescent="0.35">
      <c r="A44" t="s">
        <v>464</v>
      </c>
      <c r="B44" s="25" t="s">
        <v>447</v>
      </c>
      <c r="C44" s="25" t="s">
        <v>448</v>
      </c>
      <c r="D44" s="5" t="s">
        <v>321</v>
      </c>
      <c r="P44" s="76" t="str">
        <f>IF(COUNTA(K45:O45)=0,"No","Yes")</f>
        <v>No</v>
      </c>
    </row>
    <row r="45" spans="1:17" ht="203" x14ac:dyDescent="0.35">
      <c r="C45" s="24" t="s">
        <v>465</v>
      </c>
      <c r="D45" s="19"/>
      <c r="P45" s="76" t="str">
        <f>IF(COUNTA(K45:O45)=0,"No","Yes")</f>
        <v>No</v>
      </c>
    </row>
    <row r="46" spans="1:17" ht="15" thickBot="1" x14ac:dyDescent="0.4">
      <c r="A46" s="29"/>
      <c r="B46" s="22"/>
      <c r="C46" s="26" t="s">
        <v>304</v>
      </c>
      <c r="D46" s="54"/>
      <c r="E46" s="29" t="str">
        <f>IF(D46=FR2_UC!$L$1,FR2_UC!$K$1,(IF(D46=FR2_UC!$L$2,FR2_UC!$K$2,(IF(D46=FR2_UC!$L$3,FR2_UC!$K$3,(IF(D46=FR2_UC!$L$4,FR2_UC!$K$4,FR2_UC!$K$5)))))))</f>
        <v/>
      </c>
      <c r="F46">
        <v>1</v>
      </c>
      <c r="G46">
        <v>2</v>
      </c>
      <c r="H46">
        <v>3</v>
      </c>
      <c r="I46">
        <v>4</v>
      </c>
      <c r="J46">
        <f>MIN(F46:I46)</f>
        <v>1</v>
      </c>
      <c r="P46" s="76" t="str">
        <f>IF(COUNTA(K45:O45)=0,"No","Yes")</f>
        <v>No</v>
      </c>
    </row>
    <row r="47" spans="1:17" x14ac:dyDescent="0.35">
      <c r="A47" t="s">
        <v>466</v>
      </c>
      <c r="B47" s="25" t="s">
        <v>451</v>
      </c>
      <c r="C47" s="25" t="s">
        <v>452</v>
      </c>
      <c r="D47" s="5" t="s">
        <v>321</v>
      </c>
      <c r="P47" s="76" t="str">
        <f>IF(COUNTA(K48:O48)=0,"No","Yes")</f>
        <v>No</v>
      </c>
    </row>
    <row r="48" spans="1:17" ht="72.5" x14ac:dyDescent="0.35">
      <c r="C48" s="24" t="s">
        <v>467</v>
      </c>
      <c r="D48" s="19"/>
      <c r="P48" s="76" t="str">
        <f>IF(COUNTA(K48:O48)=0,"No","Yes")</f>
        <v>No</v>
      </c>
    </row>
    <row r="49" spans="1:16" ht="15" thickBot="1" x14ac:dyDescent="0.4">
      <c r="A49" s="29"/>
      <c r="B49" s="22"/>
      <c r="C49" s="26" t="s">
        <v>304</v>
      </c>
      <c r="D49" s="54"/>
      <c r="E49" s="29" t="str">
        <f>IF(D49=FR2_UC!$L$1,FR2_UC!$K$1,(IF(D49=FR2_UC!$L$2,FR2_UC!$K$2,(IF(D49=FR2_UC!$L$3,FR2_UC!$K$3,(IF(D49=FR2_UC!$L$4,FR2_UC!$K$4,FR2_UC!$K$5)))))))</f>
        <v/>
      </c>
      <c r="G49">
        <v>2</v>
      </c>
      <c r="H49">
        <v>3</v>
      </c>
      <c r="I49">
        <v>4</v>
      </c>
      <c r="J49">
        <f>MIN(F49:I49)</f>
        <v>2</v>
      </c>
      <c r="P49" s="76" t="str">
        <f>IF(COUNTA(K48:O48)=0,"No","Yes")</f>
        <v>No</v>
      </c>
    </row>
    <row r="50" spans="1:16" x14ac:dyDescent="0.35">
      <c r="A50" t="s">
        <v>373</v>
      </c>
      <c r="B50" s="25" t="s">
        <v>447</v>
      </c>
      <c r="C50" s="25" t="s">
        <v>448</v>
      </c>
      <c r="D50" s="5" t="s">
        <v>321</v>
      </c>
      <c r="P50" s="76" t="str">
        <f>IF(COUNTA(K51:O51)=0,"No","Yes")</f>
        <v>No</v>
      </c>
    </row>
    <row r="51" spans="1:16" ht="203" x14ac:dyDescent="0.35">
      <c r="C51" s="24" t="s">
        <v>468</v>
      </c>
      <c r="D51" s="19"/>
      <c r="P51" s="76" t="str">
        <f>IF(COUNTA(K51:O51)=0,"No","Yes")</f>
        <v>No</v>
      </c>
    </row>
    <row r="52" spans="1:16" ht="15" thickBot="1" x14ac:dyDescent="0.4">
      <c r="A52" s="29"/>
      <c r="B52" s="22"/>
      <c r="C52" s="26" t="s">
        <v>304</v>
      </c>
      <c r="D52" s="54"/>
      <c r="E52" s="29" t="str">
        <f>IF(D52=FR2_UC!$L$1,FR2_UC!$K$1,(IF(D52=FR2_UC!$L$2,FR2_UC!$K$2,(IF(D52=FR2_UC!$L$3,FR2_UC!$K$3,(IF(D52=FR2_UC!$L$4,FR2_UC!$K$4,FR2_UC!$K$5)))))))</f>
        <v/>
      </c>
      <c r="F52">
        <v>1</v>
      </c>
      <c r="G52">
        <v>2</v>
      </c>
      <c r="H52">
        <v>3</v>
      </c>
      <c r="I52">
        <v>4</v>
      </c>
      <c r="J52">
        <f>MIN(F52:I52)</f>
        <v>1</v>
      </c>
      <c r="P52" s="76" t="str">
        <f>IF(COUNTA(K51:O51)=0,"No","Yes")</f>
        <v>No</v>
      </c>
    </row>
    <row r="53" spans="1:16" x14ac:dyDescent="0.35">
      <c r="A53" t="s">
        <v>378</v>
      </c>
      <c r="B53" s="25" t="s">
        <v>451</v>
      </c>
      <c r="C53" s="25" t="s">
        <v>452</v>
      </c>
      <c r="D53" s="5" t="s">
        <v>321</v>
      </c>
      <c r="P53" s="76" t="str">
        <f>IF(COUNTA(K54:O54)=0,"No","Yes")</f>
        <v>No</v>
      </c>
    </row>
    <row r="54" spans="1:16" ht="72.5" x14ac:dyDescent="0.35">
      <c r="C54" s="24" t="s">
        <v>467</v>
      </c>
      <c r="D54" s="19"/>
      <c r="P54" s="76" t="str">
        <f>IF(COUNTA(K54:O54)=0,"No","Yes")</f>
        <v>No</v>
      </c>
    </row>
    <row r="55" spans="1:16" ht="15" thickBot="1" x14ac:dyDescent="0.4">
      <c r="A55" s="29"/>
      <c r="B55" s="22"/>
      <c r="C55" s="26" t="s">
        <v>304</v>
      </c>
      <c r="D55" s="54"/>
      <c r="E55" s="29" t="str">
        <f>IF(D55=FR2_UC!$L$1,FR2_UC!$K$1,(IF(D55=FR2_UC!$L$2,FR2_UC!$K$2,(IF(D55=FR2_UC!$L$3,FR2_UC!$K$3,(IF(D55=FR2_UC!$L$4,FR2_UC!$K$4,FR2_UC!$K$5)))))))</f>
        <v/>
      </c>
      <c r="G55">
        <v>2</v>
      </c>
      <c r="H55">
        <v>3</v>
      </c>
      <c r="I55">
        <v>4</v>
      </c>
      <c r="J55">
        <f>MIN(F55:I55)</f>
        <v>2</v>
      </c>
      <c r="P55" s="76" t="str">
        <f>IF(COUNTA(K54:O54)=0,"No","Yes")</f>
        <v>No</v>
      </c>
    </row>
    <row r="56" spans="1:16" x14ac:dyDescent="0.35">
      <c r="A56" t="s">
        <v>318</v>
      </c>
      <c r="B56" s="25" t="s">
        <v>469</v>
      </c>
      <c r="C56" s="25" t="s">
        <v>470</v>
      </c>
      <c r="D56" s="5" t="s">
        <v>321</v>
      </c>
      <c r="P56" s="76" t="str">
        <f>IF(COUNTA(K57:O57)=0,"No","Yes")</f>
        <v>No</v>
      </c>
    </row>
    <row r="57" spans="1:16" ht="174" x14ac:dyDescent="0.35">
      <c r="C57" s="24" t="s">
        <v>471</v>
      </c>
      <c r="D57" s="19"/>
      <c r="P57" s="76" t="str">
        <f>IF(COUNTA(K57:O57)=0,"No","Yes")</f>
        <v>No</v>
      </c>
    </row>
    <row r="58" spans="1:16" ht="15" thickBot="1" x14ac:dyDescent="0.4">
      <c r="A58" s="29"/>
      <c r="B58" s="22"/>
      <c r="C58" s="26" t="s">
        <v>304</v>
      </c>
      <c r="D58" s="54"/>
      <c r="E58" s="29" t="str">
        <f>IF(D58=FR2_UC!$L$1,FR2_UC!$K$1,(IF(D58=FR2_UC!$L$2,FR2_UC!$K$2,(IF(D58=FR2_UC!$L$3,FR2_UC!$K$3,(IF(D58=FR2_UC!$L$4,FR2_UC!$K$4,FR2_UC!$K$5)))))))</f>
        <v/>
      </c>
      <c r="F58">
        <v>1</v>
      </c>
      <c r="G58">
        <v>2</v>
      </c>
      <c r="H58">
        <v>3</v>
      </c>
      <c r="I58">
        <v>4</v>
      </c>
      <c r="J58">
        <f>MIN(F58:I58)</f>
        <v>1</v>
      </c>
      <c r="P58" s="76" t="str">
        <f>IF(COUNTA(K57:O57)=0,"No","Yes")</f>
        <v>No</v>
      </c>
    </row>
    <row r="59" spans="1:16" x14ac:dyDescent="0.35">
      <c r="A59" t="s">
        <v>318</v>
      </c>
      <c r="B59" s="25" t="s">
        <v>472</v>
      </c>
      <c r="C59" s="25" t="s">
        <v>473</v>
      </c>
      <c r="D59" s="5" t="s">
        <v>321</v>
      </c>
      <c r="P59" s="76" t="str">
        <f>IF(COUNTA(K60:O60)=0,"No","Yes")</f>
        <v>No</v>
      </c>
    </row>
    <row r="60" spans="1:16" ht="101.5" x14ac:dyDescent="0.35">
      <c r="C60" s="24" t="s">
        <v>474</v>
      </c>
      <c r="D60" s="19"/>
      <c r="P60" s="76" t="str">
        <f>IF(COUNTA(K60:O60)=0,"No","Yes")</f>
        <v>No</v>
      </c>
    </row>
    <row r="61" spans="1:16" ht="15" thickBot="1" x14ac:dyDescent="0.4">
      <c r="A61" s="29"/>
      <c r="B61" s="22"/>
      <c r="C61" s="26" t="s">
        <v>304</v>
      </c>
      <c r="D61" s="54"/>
      <c r="E61" s="29" t="str">
        <f>IF(D61=FR2_UC!$L$1,FR2_UC!$K$1,(IF(D61=FR2_UC!$L$2,FR2_UC!$K$2,(IF(D61=FR2_UC!$L$3,FR2_UC!$K$3,(IF(D61=FR2_UC!$L$4,FR2_UC!$K$4,FR2_UC!$K$5)))))))</f>
        <v/>
      </c>
      <c r="G61">
        <v>2</v>
      </c>
      <c r="H61">
        <v>3</v>
      </c>
      <c r="I61">
        <v>4</v>
      </c>
      <c r="J61">
        <f>MIN(F61:I61)</f>
        <v>2</v>
      </c>
      <c r="P61" s="76" t="str">
        <f>IF(COUNTA(K60:O60)=0,"No","Yes")</f>
        <v>No</v>
      </c>
    </row>
    <row r="62" spans="1:16" x14ac:dyDescent="0.35">
      <c r="A62" t="s">
        <v>318</v>
      </c>
      <c r="B62" s="25" t="s">
        <v>475</v>
      </c>
      <c r="C62" s="25" t="s">
        <v>476</v>
      </c>
      <c r="D62" s="5" t="s">
        <v>321</v>
      </c>
      <c r="P62" s="76" t="str">
        <f>IF(COUNTA(K63:O63)=0,"No","Yes")</f>
        <v>No</v>
      </c>
    </row>
    <row r="63" spans="1:16" ht="46.5" customHeight="1" x14ac:dyDescent="0.35">
      <c r="C63" s="24" t="s">
        <v>477</v>
      </c>
      <c r="D63" s="19"/>
      <c r="P63" s="76" t="str">
        <f>IF(COUNTA(K63:O63)=0,"No","Yes")</f>
        <v>No</v>
      </c>
    </row>
    <row r="64" spans="1:16" ht="15" thickBot="1" x14ac:dyDescent="0.4">
      <c r="A64" s="29"/>
      <c r="B64" s="22"/>
      <c r="C64" s="26" t="s">
        <v>304</v>
      </c>
      <c r="D64" s="54"/>
      <c r="E64" s="29" t="str">
        <f>IF(D64=FR2_UC!$L$1,FR2_UC!$K$1,(IF(D64=FR2_UC!$L$2,FR2_UC!$K$2,(IF(D64=FR2_UC!$L$3,FR2_UC!$K$3,(IF(D64=FR2_UC!$L$4,FR2_UC!$K$4,FR2_UC!$K$5)))))))</f>
        <v/>
      </c>
      <c r="H64">
        <v>3</v>
      </c>
      <c r="I64">
        <v>4</v>
      </c>
      <c r="J64">
        <f>MIN(F64:I64)</f>
        <v>3</v>
      </c>
      <c r="P64" s="76" t="str">
        <f>IF(COUNTA(K63:O63)=0,"No","Yes")</f>
        <v>No</v>
      </c>
    </row>
    <row r="65" spans="1:16" x14ac:dyDescent="0.35">
      <c r="A65" t="s">
        <v>318</v>
      </c>
      <c r="B65" s="25" t="s">
        <v>478</v>
      </c>
      <c r="C65" s="25" t="s">
        <v>479</v>
      </c>
      <c r="D65" s="5" t="s">
        <v>321</v>
      </c>
      <c r="P65" s="76" t="str">
        <f>IF(COUNTA(K66:O66)=0,"No","Yes")</f>
        <v>No</v>
      </c>
    </row>
    <row r="66" spans="1:16" ht="246.5" x14ac:dyDescent="0.35">
      <c r="C66" s="24" t="s">
        <v>480</v>
      </c>
      <c r="D66" s="19"/>
      <c r="P66" s="76" t="str">
        <f>IF(COUNTA(K66:O66)=0,"No","Yes")</f>
        <v>No</v>
      </c>
    </row>
    <row r="67" spans="1:16" ht="15" thickBot="1" x14ac:dyDescent="0.4">
      <c r="A67" s="29"/>
      <c r="B67" s="22"/>
      <c r="C67" s="26" t="s">
        <v>304</v>
      </c>
      <c r="D67" s="54"/>
      <c r="E67" s="29" t="str">
        <f>IF(D67=FR2_UC!$L$1,FR2_UC!$K$1,(IF(D67=FR2_UC!$L$2,FR2_UC!$K$2,(IF(D67=FR2_UC!$L$3,FR2_UC!$K$3,(IF(D67=FR2_UC!$L$4,FR2_UC!$K$4,FR2_UC!$K$5)))))))</f>
        <v/>
      </c>
      <c r="F67">
        <v>1</v>
      </c>
      <c r="G67">
        <v>2</v>
      </c>
      <c r="H67">
        <v>3</v>
      </c>
      <c r="I67">
        <v>4</v>
      </c>
      <c r="J67">
        <f>MIN(F67:I67)</f>
        <v>1</v>
      </c>
      <c r="P67" s="76" t="str">
        <f>IF(COUNTA(K66:O66)=0,"No","Yes")</f>
        <v>No</v>
      </c>
    </row>
    <row r="68" spans="1:16" x14ac:dyDescent="0.35">
      <c r="A68" t="s">
        <v>318</v>
      </c>
      <c r="B68" s="25" t="s">
        <v>481</v>
      </c>
      <c r="C68" s="25" t="s">
        <v>482</v>
      </c>
      <c r="D68" s="5" t="s">
        <v>321</v>
      </c>
      <c r="P68" s="76" t="str">
        <f>IF(COUNTA(K69:O69)=0,"No","Yes")</f>
        <v>No</v>
      </c>
    </row>
    <row r="69" spans="1:16" ht="108.75" customHeight="1" x14ac:dyDescent="0.35">
      <c r="C69" s="24" t="s">
        <v>483</v>
      </c>
      <c r="D69" s="19"/>
      <c r="P69" s="76" t="str">
        <f>IF(COUNTA(K69:O69)=0,"No","Yes")</f>
        <v>No</v>
      </c>
    </row>
    <row r="70" spans="1:16" ht="15" thickBot="1" x14ac:dyDescent="0.4">
      <c r="A70" s="29"/>
      <c r="B70" s="22"/>
      <c r="C70" s="26" t="s">
        <v>304</v>
      </c>
      <c r="D70" s="54"/>
      <c r="E70" s="29" t="str">
        <f>IF(D70=FR2_UC!$L$1,FR2_UC!$K$1,(IF(D70=FR2_UC!$L$2,FR2_UC!$K$2,(IF(D70=FR2_UC!$L$3,FR2_UC!$K$3,(IF(D70=FR2_UC!$L$4,FR2_UC!$K$4,FR2_UC!$K$5)))))))</f>
        <v/>
      </c>
      <c r="F70">
        <v>1</v>
      </c>
      <c r="G70">
        <v>2</v>
      </c>
      <c r="H70">
        <v>3</v>
      </c>
      <c r="I70">
        <v>4</v>
      </c>
      <c r="J70">
        <f>MIN(F70:I70)</f>
        <v>1</v>
      </c>
      <c r="P70" s="76" t="str">
        <f>IF(COUNTA(K69:O69)=0,"No","Yes")</f>
        <v>No</v>
      </c>
    </row>
    <row r="71" spans="1:16" ht="29" x14ac:dyDescent="0.35">
      <c r="A71" t="s">
        <v>325</v>
      </c>
      <c r="B71" s="25" t="s">
        <v>484</v>
      </c>
      <c r="C71" s="24" t="s">
        <v>485</v>
      </c>
      <c r="D71" s="5" t="s">
        <v>321</v>
      </c>
      <c r="P71" s="76" t="str">
        <f>IF(COUNTA(K72:O72)=0,"No","Yes")</f>
        <v>No</v>
      </c>
    </row>
    <row r="72" spans="1:16" ht="43.5" x14ac:dyDescent="0.35">
      <c r="C72" s="24" t="s">
        <v>486</v>
      </c>
      <c r="D72" s="19"/>
      <c r="P72" s="76" t="str">
        <f>IF(COUNTA(K72:O72)=0,"No","Yes")</f>
        <v>No</v>
      </c>
    </row>
    <row r="73" spans="1:16" ht="15" thickBot="1" x14ac:dyDescent="0.4">
      <c r="A73" s="29"/>
      <c r="B73" s="22"/>
      <c r="C73" s="26" t="s">
        <v>304</v>
      </c>
      <c r="D73" s="54"/>
      <c r="E73" s="29" t="str">
        <f>IF(D73=FR2_UC!$L$1,FR2_UC!$K$1,(IF(D73=FR2_UC!$L$2,FR2_UC!$K$2,(IF(D73=FR2_UC!$L$3,FR2_UC!$K$3,(IF(D73=FR2_UC!$L$4,FR2_UC!$K$4,FR2_UC!$K$5)))))))</f>
        <v/>
      </c>
      <c r="H73">
        <v>3</v>
      </c>
      <c r="I73">
        <v>4</v>
      </c>
      <c r="J73">
        <f>MIN(F73:I73)</f>
        <v>3</v>
      </c>
      <c r="P73" s="76" t="str">
        <f>IF(COUNTA(K72:O72)=0,"No","Yes")</f>
        <v>No</v>
      </c>
    </row>
    <row r="74" spans="1:16" x14ac:dyDescent="0.35">
      <c r="A74" t="s">
        <v>318</v>
      </c>
      <c r="B74" s="25" t="s">
        <v>487</v>
      </c>
      <c r="C74" s="25" t="s">
        <v>488</v>
      </c>
      <c r="D74" s="5" t="s">
        <v>321</v>
      </c>
      <c r="P74" s="76" t="str">
        <f>IF(COUNTA(K75:O75)=0,"No","Yes")</f>
        <v>No</v>
      </c>
    </row>
    <row r="75" spans="1:16" ht="116" x14ac:dyDescent="0.35">
      <c r="C75" s="24" t="s">
        <v>489</v>
      </c>
      <c r="D75" s="19"/>
      <c r="P75" s="76" t="str">
        <f>IF(COUNTA(K75:O75)=0,"No","Yes")</f>
        <v>No</v>
      </c>
    </row>
    <row r="76" spans="1:16" ht="15" thickBot="1" x14ac:dyDescent="0.4">
      <c r="A76" s="29"/>
      <c r="B76" s="22"/>
      <c r="C76" s="26" t="s">
        <v>304</v>
      </c>
      <c r="D76" s="54"/>
      <c r="E76" s="29" t="str">
        <f>IF(D76=FR2_UC!$L$1,FR2_UC!$K$1,(IF(D76=FR2_UC!$L$2,FR2_UC!$K$2,(IF(D76=FR2_UC!$L$3,FR2_UC!$K$3,(IF(D76=FR2_UC!$L$4,FR2_UC!$K$4,FR2_UC!$K$5)))))))</f>
        <v/>
      </c>
      <c r="F76">
        <v>1</v>
      </c>
      <c r="G76">
        <v>2</v>
      </c>
      <c r="H76">
        <v>3</v>
      </c>
      <c r="I76">
        <v>4</v>
      </c>
      <c r="J76">
        <f>MIN(F76:I76)</f>
        <v>1</v>
      </c>
      <c r="P76" s="76" t="str">
        <f>IF(COUNTA(K75:O75)=0,"No","Yes")</f>
        <v>No</v>
      </c>
    </row>
    <row r="77" spans="1:16" x14ac:dyDescent="0.35">
      <c r="A77" t="s">
        <v>318</v>
      </c>
      <c r="B77" s="25" t="s">
        <v>490</v>
      </c>
      <c r="C77" s="25" t="s">
        <v>491</v>
      </c>
      <c r="D77" s="5" t="s">
        <v>321</v>
      </c>
      <c r="P77" s="76" t="str">
        <f>IF(COUNTA(K78:O78)=0,"No","Yes")</f>
        <v>No</v>
      </c>
    </row>
    <row r="78" spans="1:16" ht="43.5" x14ac:dyDescent="0.35">
      <c r="C78" s="24" t="s">
        <v>492</v>
      </c>
      <c r="D78" s="19"/>
      <c r="P78" s="76" t="str">
        <f>IF(COUNTA(K78:O78)=0,"No","Yes")</f>
        <v>No</v>
      </c>
    </row>
    <row r="79" spans="1:16" ht="15" thickBot="1" x14ac:dyDescent="0.4">
      <c r="A79" s="29"/>
      <c r="B79" s="22"/>
      <c r="C79" s="26" t="s">
        <v>304</v>
      </c>
      <c r="D79" s="54"/>
      <c r="E79" s="29" t="str">
        <f>IF(D79=FR2_UC!$L$1,FR2_UC!$K$1,(IF(D79=FR2_UC!$L$2,FR2_UC!$K$2,(IF(D79=FR2_UC!$L$3,FR2_UC!$K$3,(IF(D79=FR2_UC!$L$4,FR2_UC!$K$4,FR2_UC!$K$5)))))))</f>
        <v/>
      </c>
      <c r="F79">
        <v>1</v>
      </c>
      <c r="G79">
        <v>2</v>
      </c>
      <c r="H79">
        <v>3</v>
      </c>
      <c r="I79">
        <v>4</v>
      </c>
      <c r="J79">
        <f>MIN(F79:I79)</f>
        <v>1</v>
      </c>
      <c r="P79" s="76" t="str">
        <f>IF(COUNTA(K78:O78)=0,"No","Yes")</f>
        <v>No</v>
      </c>
    </row>
    <row r="80" spans="1:16" x14ac:dyDescent="0.35">
      <c r="A80" t="s">
        <v>325</v>
      </c>
      <c r="B80" s="25" t="s">
        <v>493</v>
      </c>
      <c r="C80" s="25" t="s">
        <v>494</v>
      </c>
      <c r="D80" s="5" t="s">
        <v>321</v>
      </c>
      <c r="P80" s="76" t="str">
        <f>IF(COUNTA(K81:O81)=0,"No","Yes")</f>
        <v>No</v>
      </c>
    </row>
    <row r="81" spans="1:17" ht="43.5" x14ac:dyDescent="0.35">
      <c r="C81" s="24" t="s">
        <v>495</v>
      </c>
      <c r="D81" s="19"/>
      <c r="P81" s="76" t="str">
        <f>IF(COUNTA(K81:O81)=0,"No","Yes")</f>
        <v>No</v>
      </c>
    </row>
    <row r="82" spans="1:17" ht="15" thickBot="1" x14ac:dyDescent="0.4">
      <c r="A82" s="29"/>
      <c r="B82" s="22"/>
      <c r="C82" s="26" t="s">
        <v>304</v>
      </c>
      <c r="D82" s="54"/>
      <c r="E82" s="29" t="str">
        <f>IF(D82=FR2_UC!$L$1,FR2_UC!$K$1,(IF(D82=FR2_UC!$L$2,FR2_UC!$K$2,(IF(D82=FR2_UC!$L$3,FR2_UC!$K$3,(IF(D82=FR2_UC!$L$4,FR2_UC!$K$4,FR2_UC!$K$5)))))))</f>
        <v/>
      </c>
      <c r="G82">
        <v>2</v>
      </c>
      <c r="H82">
        <v>3</v>
      </c>
      <c r="I82">
        <v>4</v>
      </c>
      <c r="J82">
        <f>MIN(F82:I82)</f>
        <v>2</v>
      </c>
      <c r="P82" s="76" t="str">
        <f>IF(COUNTA(K81:O81)=0,"No","Yes")</f>
        <v>No</v>
      </c>
    </row>
    <row r="83" spans="1:17" x14ac:dyDescent="0.35">
      <c r="A83" t="s">
        <v>325</v>
      </c>
      <c r="B83" s="25" t="s">
        <v>496</v>
      </c>
      <c r="C83" s="25" t="s">
        <v>497</v>
      </c>
      <c r="D83" s="5" t="s">
        <v>321</v>
      </c>
      <c r="P83" s="76" t="str">
        <f>IF(COUNTA(K84:O84)=0,"No","Yes")</f>
        <v>No</v>
      </c>
    </row>
    <row r="84" spans="1:17" ht="45" customHeight="1" x14ac:dyDescent="0.35">
      <c r="C84" s="24" t="s">
        <v>498</v>
      </c>
      <c r="D84" s="19"/>
      <c r="P84" s="76" t="str">
        <f>IF(COUNTA(K84:O84)=0,"No","Yes")</f>
        <v>No</v>
      </c>
    </row>
    <row r="85" spans="1:17" ht="15" thickBot="1" x14ac:dyDescent="0.4">
      <c r="A85" s="29"/>
      <c r="B85" s="22"/>
      <c r="C85" s="26" t="s">
        <v>304</v>
      </c>
      <c r="D85" s="54"/>
      <c r="E85" s="29" t="str">
        <f>IF(D85=FR2_UC!$L$1,FR2_UC!$K$1,(IF(D85=FR2_UC!$L$2,FR2_UC!$K$2,(IF(D85=FR2_UC!$L$3,FR2_UC!$K$3,(IF(D85=FR2_UC!$L$4,FR2_UC!$K$4,FR2_UC!$K$5)))))))</f>
        <v/>
      </c>
      <c r="I85">
        <v>4</v>
      </c>
      <c r="J85">
        <f>MIN(F85:I85)</f>
        <v>4</v>
      </c>
      <c r="P85" s="76" t="str">
        <f>IF(COUNTA(K84:O84)=0,"No","Yes")</f>
        <v>No</v>
      </c>
    </row>
    <row r="86" spans="1:17" x14ac:dyDescent="0.35">
      <c r="A86" t="s">
        <v>318</v>
      </c>
      <c r="B86" s="25" t="s">
        <v>499</v>
      </c>
      <c r="C86" s="25" t="s">
        <v>500</v>
      </c>
      <c r="D86" s="5" t="s">
        <v>321</v>
      </c>
      <c r="P86" s="76" t="str">
        <f>IF(COUNTA(K87:O87)=0,"No","Yes")</f>
        <v>No</v>
      </c>
    </row>
    <row r="87" spans="1:17" ht="103.5" customHeight="1" x14ac:dyDescent="0.35">
      <c r="C87" s="24" t="s">
        <v>501</v>
      </c>
      <c r="D87" s="19"/>
      <c r="P87" s="76" t="str">
        <f>IF(COUNTA(K87:O87)=0,"No","Yes")</f>
        <v>No</v>
      </c>
    </row>
    <row r="88" spans="1:17" ht="15" thickBot="1" x14ac:dyDescent="0.4">
      <c r="A88" s="29"/>
      <c r="B88" s="22"/>
      <c r="C88" s="26" t="s">
        <v>304</v>
      </c>
      <c r="D88" s="54"/>
      <c r="E88" s="29" t="str">
        <f>IF(D88=FR2_UC!$L$1,FR2_UC!$K$1,(IF(D88=FR2_UC!$L$2,FR2_UC!$K$2,(IF(D88=FR2_UC!$L$3,FR2_UC!$K$3,(IF(D88=FR2_UC!$L$4,FR2_UC!$K$4,FR2_UC!$K$5)))))))</f>
        <v/>
      </c>
      <c r="F88">
        <v>1</v>
      </c>
      <c r="G88">
        <v>2</v>
      </c>
      <c r="H88">
        <v>3</v>
      </c>
      <c r="I88">
        <v>4</v>
      </c>
      <c r="J88">
        <f>MIN(F88:I88)</f>
        <v>1</v>
      </c>
      <c r="P88" s="76" t="str">
        <f>IF(COUNTA(K87:O87)=0,"No","Yes")</f>
        <v>No</v>
      </c>
    </row>
    <row r="89" spans="1:17" x14ac:dyDescent="0.35">
      <c r="A89" t="s">
        <v>325</v>
      </c>
      <c r="B89" s="25" t="s">
        <v>502</v>
      </c>
      <c r="C89" s="25" t="s">
        <v>503</v>
      </c>
      <c r="D89" s="5" t="s">
        <v>321</v>
      </c>
      <c r="P89" s="76" t="str">
        <f>IF(COUNTA(K90:O90)=0,"No","Yes")</f>
        <v>No</v>
      </c>
    </row>
    <row r="90" spans="1:17" ht="45.75" customHeight="1" x14ac:dyDescent="0.35">
      <c r="C90" s="24" t="s">
        <v>504</v>
      </c>
      <c r="D90" s="19"/>
      <c r="P90" s="76" t="str">
        <f>IF(COUNTA(K90:O90)=0,"No","Yes")</f>
        <v>No</v>
      </c>
    </row>
    <row r="91" spans="1:17" ht="15" thickBot="1" x14ac:dyDescent="0.4">
      <c r="A91" s="29"/>
      <c r="B91" s="22"/>
      <c r="C91" s="26" t="s">
        <v>304</v>
      </c>
      <c r="D91" s="54"/>
      <c r="E91" s="29" t="str">
        <f>IF(D91=FR2_UC!$L$1,FR2_UC!$K$1,(IF(D91=FR2_UC!$L$2,FR2_UC!$K$2,(IF(D91=FR2_UC!$L$3,FR2_UC!$K$3,(IF(D91=FR2_UC!$L$4,FR2_UC!$K$4,FR2_UC!$K$5)))))))</f>
        <v/>
      </c>
      <c r="I91">
        <v>4</v>
      </c>
      <c r="J91">
        <f>MIN(F91:I91)</f>
        <v>4</v>
      </c>
      <c r="P91" s="76" t="str">
        <f>IF(COUNTA(K90:O90)=0,"No","Yes")</f>
        <v>No</v>
      </c>
    </row>
    <row r="92" spans="1:17" x14ac:dyDescent="0.35">
      <c r="A92" t="s">
        <v>454</v>
      </c>
      <c r="B92" s="25" t="s">
        <v>505</v>
      </c>
      <c r="C92" s="25" t="s">
        <v>506</v>
      </c>
      <c r="D92" s="5" t="s">
        <v>321</v>
      </c>
      <c r="P92" s="76" t="str">
        <f>IF(COUNTA(K93:O93)=0,"No","Yes")</f>
        <v>Yes</v>
      </c>
      <c r="Q92" t="s">
        <v>315</v>
      </c>
    </row>
    <row r="93" spans="1:17" ht="43.5" x14ac:dyDescent="0.35">
      <c r="C93" s="24" t="s">
        <v>507</v>
      </c>
      <c r="D93" s="85" t="s">
        <v>508</v>
      </c>
      <c r="K93" t="s">
        <v>509</v>
      </c>
      <c r="M93" s="94" t="s">
        <v>510</v>
      </c>
      <c r="N93" s="94"/>
      <c r="P93" s="76" t="str">
        <f>IF(COUNTA(K93:O93)=0,"No","Yes")</f>
        <v>Yes</v>
      </c>
      <c r="Q93" t="s">
        <v>315</v>
      </c>
    </row>
    <row r="94" spans="1:17" ht="15" thickBot="1" x14ac:dyDescent="0.4">
      <c r="A94" s="29"/>
      <c r="B94" s="22"/>
      <c r="C94" s="26" t="s">
        <v>304</v>
      </c>
      <c r="D94" s="54" t="s">
        <v>301</v>
      </c>
      <c r="E94" s="29">
        <f>IF(D94=FR2_UC!$L$1,FR2_UC!$K$1,(IF(D94=FR2_UC!$L$2,FR2_UC!$K$2,(IF(D94=FR2_UC!$L$3,FR2_UC!$K$3,(IF(D94=FR2_UC!$L$4,FR2_UC!$K$4,FR2_UC!$K$5)))))))</f>
        <v>3</v>
      </c>
      <c r="G94">
        <v>2</v>
      </c>
      <c r="H94">
        <v>3</v>
      </c>
      <c r="I94">
        <v>4</v>
      </c>
      <c r="J94">
        <f>MIN(F94:I94)</f>
        <v>2</v>
      </c>
      <c r="P94" s="76" t="str">
        <f>IF(COUNTA(K93:O93)=0,"No","Yes")</f>
        <v>Yes</v>
      </c>
      <c r="Q94" t="s">
        <v>315</v>
      </c>
    </row>
    <row r="95" spans="1:17" x14ac:dyDescent="0.35">
      <c r="A95" t="s">
        <v>462</v>
      </c>
      <c r="B95" s="25" t="s">
        <v>511</v>
      </c>
      <c r="C95" s="25" t="s">
        <v>512</v>
      </c>
      <c r="D95" s="5" t="s">
        <v>321</v>
      </c>
      <c r="P95" s="76" t="str">
        <f>IF(COUNTA(K96:O96)=0,"No","Yes")</f>
        <v>No</v>
      </c>
    </row>
    <row r="96" spans="1:17" ht="60" customHeight="1" x14ac:dyDescent="0.35">
      <c r="C96" s="24" t="s">
        <v>513</v>
      </c>
      <c r="D96" s="19"/>
      <c r="P96" s="76" t="str">
        <f>IF(COUNTA(K96:O96)=0,"No","Yes")</f>
        <v>No</v>
      </c>
    </row>
    <row r="97" spans="1:17" ht="14.25" customHeight="1" thickBot="1" x14ac:dyDescent="0.4">
      <c r="A97" s="29"/>
      <c r="B97" s="22"/>
      <c r="C97" s="28" t="s">
        <v>304</v>
      </c>
      <c r="D97" s="54"/>
      <c r="E97" s="29" t="str">
        <f>IF(D97=FR2_UC!$L$1,FR2_UC!$K$1,(IF(D97=FR2_UC!$L$2,FR2_UC!$K$2,(IF(D97=FR2_UC!$L$3,FR2_UC!$K$3,(IF(D97=FR2_UC!$L$4,FR2_UC!$K$4,FR2_UC!$K$5)))))))</f>
        <v/>
      </c>
      <c r="H97">
        <v>3</v>
      </c>
      <c r="I97">
        <v>4</v>
      </c>
      <c r="J97">
        <f>MIN(F97:I97)</f>
        <v>3</v>
      </c>
      <c r="P97" s="76" t="str">
        <f>IF(COUNTA(K96:O96)=0,"No","Yes")</f>
        <v>No</v>
      </c>
    </row>
    <row r="98" spans="1:17" x14ac:dyDescent="0.35">
      <c r="A98" t="s">
        <v>464</v>
      </c>
      <c r="B98" s="25" t="s">
        <v>505</v>
      </c>
      <c r="C98" s="25" t="s">
        <v>506</v>
      </c>
      <c r="D98" s="5" t="s">
        <v>321</v>
      </c>
      <c r="P98" s="76" t="str">
        <f>IF(COUNTA(K99:O99)=0,"No","Yes")</f>
        <v>Yes</v>
      </c>
      <c r="Q98" t="s">
        <v>315</v>
      </c>
    </row>
    <row r="99" spans="1:17" ht="43.5" x14ac:dyDescent="0.35">
      <c r="C99" s="24" t="s">
        <v>514</v>
      </c>
      <c r="D99" s="85" t="s">
        <v>508</v>
      </c>
      <c r="L99" t="s">
        <v>509</v>
      </c>
      <c r="M99" s="96" t="s">
        <v>515</v>
      </c>
      <c r="N99" s="94"/>
      <c r="P99" s="76" t="str">
        <f>IF(COUNTA(K99:O99)=0,"No","Yes")</f>
        <v>Yes</v>
      </c>
      <c r="Q99" t="s">
        <v>315</v>
      </c>
    </row>
    <row r="100" spans="1:17" ht="15" thickBot="1" x14ac:dyDescent="0.4">
      <c r="A100" s="29"/>
      <c r="B100" s="22"/>
      <c r="C100" s="26" t="s">
        <v>304</v>
      </c>
      <c r="D100" s="54"/>
      <c r="E100" s="29" t="str">
        <f>IF(D100=FR2_UC!$L$1,FR2_UC!$K$1,(IF(D100=FR2_UC!$L$2,FR2_UC!$K$2,(IF(D100=FR2_UC!$L$3,FR2_UC!$K$3,(IF(D100=FR2_UC!$L$4,FR2_UC!$K$4,FR2_UC!$K$5)))))))</f>
        <v/>
      </c>
      <c r="G100">
        <v>2</v>
      </c>
      <c r="H100">
        <v>3</v>
      </c>
      <c r="I100">
        <v>4</v>
      </c>
      <c r="J100">
        <f>MIN(F100:I100)</f>
        <v>2</v>
      </c>
      <c r="P100" s="76" t="str">
        <f>IF(COUNTA(K99:O99)=0,"No","Yes")</f>
        <v>Yes</v>
      </c>
      <c r="Q100" t="s">
        <v>315</v>
      </c>
    </row>
    <row r="101" spans="1:17" x14ac:dyDescent="0.35">
      <c r="A101" t="s">
        <v>466</v>
      </c>
      <c r="B101" s="25" t="s">
        <v>511</v>
      </c>
      <c r="C101" s="25" t="s">
        <v>512</v>
      </c>
      <c r="D101" s="5" t="s">
        <v>321</v>
      </c>
      <c r="P101" s="76" t="str">
        <f>IF(COUNTA(K102:O102)=0,"No","Yes")</f>
        <v>No</v>
      </c>
    </row>
    <row r="102" spans="1:17" ht="58" x14ac:dyDescent="0.35">
      <c r="C102" s="24" t="s">
        <v>516</v>
      </c>
      <c r="D102" s="19"/>
      <c r="P102" s="76" t="str">
        <f>IF(COUNTA(K102:O102)=0,"No","Yes")</f>
        <v>No</v>
      </c>
    </row>
    <row r="103" spans="1:17" ht="15" thickBot="1" x14ac:dyDescent="0.4">
      <c r="A103" s="29"/>
      <c r="B103" s="22"/>
      <c r="C103" s="28" t="s">
        <v>304</v>
      </c>
      <c r="D103" s="54"/>
      <c r="E103" s="29" t="str">
        <f>IF(D103=FR2_UC!$L$1,FR2_UC!$K$1,(IF(D103=FR2_UC!$L$2,FR2_UC!$K$2,(IF(D103=FR2_UC!$L$3,FR2_UC!$K$3,(IF(D103=FR2_UC!$L$4,FR2_UC!$K$4,FR2_UC!$K$5)))))))</f>
        <v/>
      </c>
      <c r="H103">
        <v>3</v>
      </c>
      <c r="I103">
        <v>4</v>
      </c>
      <c r="J103">
        <f>MIN(F103:I103)</f>
        <v>3</v>
      </c>
      <c r="P103" s="76" t="str">
        <f>IF(COUNTA(K102:O102)=0,"No","Yes")</f>
        <v>No</v>
      </c>
    </row>
    <row r="104" spans="1:17" x14ac:dyDescent="0.35">
      <c r="A104" t="s">
        <v>373</v>
      </c>
      <c r="B104" s="25" t="s">
        <v>505</v>
      </c>
      <c r="C104" s="25" t="s">
        <v>506</v>
      </c>
      <c r="D104" s="5" t="s">
        <v>321</v>
      </c>
      <c r="P104" s="76" t="str">
        <f>IF(COUNTA(K105:O105)=0,"No","Yes")</f>
        <v>Yes</v>
      </c>
      <c r="Q104" t="s">
        <v>315</v>
      </c>
    </row>
    <row r="105" spans="1:17" ht="43.5" x14ac:dyDescent="0.35">
      <c r="C105" s="24" t="s">
        <v>517</v>
      </c>
      <c r="D105" s="85" t="s">
        <v>508</v>
      </c>
      <c r="M105" s="96" t="s">
        <v>515</v>
      </c>
      <c r="N105" s="94"/>
      <c r="O105" t="s">
        <v>509</v>
      </c>
      <c r="P105" s="76" t="str">
        <f>IF(COUNTA(K105:O105)=0,"No","Yes")</f>
        <v>Yes</v>
      </c>
      <c r="Q105" t="s">
        <v>315</v>
      </c>
    </row>
    <row r="106" spans="1:17" ht="15" thickBot="1" x14ac:dyDescent="0.4">
      <c r="A106" s="29"/>
      <c r="B106" s="22"/>
      <c r="C106" s="26" t="s">
        <v>304</v>
      </c>
      <c r="D106" s="54"/>
      <c r="E106" s="29" t="str">
        <f>IF(D106=FR2_UC!$L$1,FR2_UC!$K$1,(IF(D106=FR2_UC!$L$2,FR2_UC!$K$2,(IF(D106=FR2_UC!$L$3,FR2_UC!$K$3,(IF(D106=FR2_UC!$L$4,FR2_UC!$K$4,FR2_UC!$K$5)))))))</f>
        <v/>
      </c>
      <c r="G106">
        <v>2</v>
      </c>
      <c r="H106">
        <v>3</v>
      </c>
      <c r="I106">
        <v>4</v>
      </c>
      <c r="J106">
        <f>MIN(F106:I106)</f>
        <v>2</v>
      </c>
      <c r="P106" s="76" t="str">
        <f>IF(COUNTA(K105:O105)=0,"No","Yes")</f>
        <v>Yes</v>
      </c>
      <c r="Q106" t="s">
        <v>315</v>
      </c>
    </row>
    <row r="107" spans="1:17" x14ac:dyDescent="0.35">
      <c r="A107" t="s">
        <v>378</v>
      </c>
      <c r="B107" s="25" t="s">
        <v>511</v>
      </c>
      <c r="C107" s="25" t="s">
        <v>512</v>
      </c>
      <c r="D107" s="5" t="s">
        <v>321</v>
      </c>
      <c r="P107" s="76" t="str">
        <f>IF(COUNTA(K108:O108)=0,"No","Yes")</f>
        <v>No</v>
      </c>
    </row>
    <row r="108" spans="1:17" ht="58" x14ac:dyDescent="0.35">
      <c r="C108" s="24" t="s">
        <v>518</v>
      </c>
      <c r="D108" s="19"/>
      <c r="P108" s="76" t="str">
        <f>IF(COUNTA(K108:O108)=0,"No","Yes")</f>
        <v>No</v>
      </c>
    </row>
    <row r="109" spans="1:17" ht="15" thickBot="1" x14ac:dyDescent="0.4">
      <c r="A109" s="29"/>
      <c r="B109" s="22"/>
      <c r="C109" s="26" t="s">
        <v>304</v>
      </c>
      <c r="D109" s="54"/>
      <c r="E109" s="29" t="str">
        <f>IF(D109=FR2_UC!$L$1,FR2_UC!$K$1,(IF(D109=FR2_UC!$L$2,FR2_UC!$K$2,(IF(D109=FR2_UC!$L$3,FR2_UC!$K$3,(IF(D109=FR2_UC!$L$4,FR2_UC!$K$4,FR2_UC!$K$5)))))))</f>
        <v/>
      </c>
      <c r="H109">
        <v>3</v>
      </c>
      <c r="I109">
        <v>4</v>
      </c>
      <c r="J109">
        <f>MIN(F109:I109)</f>
        <v>3</v>
      </c>
      <c r="P109" s="76" t="str">
        <f>IF(COUNTA(K108:O108)=0,"No","Yes")</f>
        <v>No</v>
      </c>
    </row>
  </sheetData>
  <autoFilter ref="P6:Q109" xr:uid="{00000000-0001-0000-0300-000000000000}"/>
  <conditionalFormatting sqref="E11">
    <cfRule type="cellIs" dxfId="485" priority="197" operator="between">
      <formula>2.75</formula>
      <formula>3</formula>
    </cfRule>
    <cfRule type="cellIs" dxfId="484" priority="198" operator="between">
      <formula>1.75</formula>
      <formula>2.75</formula>
    </cfRule>
    <cfRule type="cellIs" dxfId="483" priority="199" operator="equal">
      <formula>0</formula>
    </cfRule>
  </conditionalFormatting>
  <conditionalFormatting sqref="E14">
    <cfRule type="cellIs" dxfId="482" priority="91" operator="between">
      <formula>2.75</formula>
      <formula>3</formula>
    </cfRule>
    <cfRule type="cellIs" dxfId="481" priority="92" operator="between">
      <formula>1.75</formula>
      <formula>2.75</formula>
    </cfRule>
    <cfRule type="cellIs" dxfId="480" priority="93" operator="equal">
      <formula>0</formula>
    </cfRule>
  </conditionalFormatting>
  <conditionalFormatting sqref="E17">
    <cfRule type="cellIs" dxfId="479" priority="88" operator="between">
      <formula>2.75</formula>
      <formula>3</formula>
    </cfRule>
    <cfRule type="cellIs" dxfId="478" priority="89" operator="between">
      <formula>1.75</formula>
      <formula>2.75</formula>
    </cfRule>
    <cfRule type="cellIs" dxfId="477" priority="90" operator="equal">
      <formula>0</formula>
    </cfRule>
  </conditionalFormatting>
  <conditionalFormatting sqref="E20">
    <cfRule type="cellIs" dxfId="476" priority="85" operator="between">
      <formula>2.75</formula>
      <formula>3</formula>
    </cfRule>
    <cfRule type="cellIs" dxfId="475" priority="86" operator="between">
      <formula>1.75</formula>
      <formula>2.75</formula>
    </cfRule>
    <cfRule type="cellIs" dxfId="474" priority="87" operator="equal">
      <formula>0</formula>
    </cfRule>
  </conditionalFormatting>
  <conditionalFormatting sqref="E23">
    <cfRule type="cellIs" dxfId="473" priority="82" operator="between">
      <formula>2.75</formula>
      <formula>3</formula>
    </cfRule>
    <cfRule type="cellIs" dxfId="472" priority="83" operator="between">
      <formula>1.75</formula>
      <formula>2.75</formula>
    </cfRule>
    <cfRule type="cellIs" dxfId="471" priority="84" operator="equal">
      <formula>0</formula>
    </cfRule>
  </conditionalFormatting>
  <conditionalFormatting sqref="E26">
    <cfRule type="cellIs" dxfId="470" priority="79" operator="between">
      <formula>2.75</formula>
      <formula>3</formula>
    </cfRule>
    <cfRule type="cellIs" dxfId="469" priority="80" operator="between">
      <formula>1.75</formula>
      <formula>2.75</formula>
    </cfRule>
    <cfRule type="cellIs" dxfId="468" priority="81" operator="equal">
      <formula>0</formula>
    </cfRule>
  </conditionalFormatting>
  <conditionalFormatting sqref="E29">
    <cfRule type="cellIs" dxfId="467" priority="179" operator="between">
      <formula>2.75</formula>
      <formula>3</formula>
    </cfRule>
    <cfRule type="cellIs" dxfId="466" priority="180" operator="between">
      <formula>1.75</formula>
      <formula>2.75</formula>
    </cfRule>
    <cfRule type="cellIs" dxfId="465" priority="181" operator="equal">
      <formula>0</formula>
    </cfRule>
  </conditionalFormatting>
  <conditionalFormatting sqref="E32">
    <cfRule type="cellIs" dxfId="464" priority="76" operator="between">
      <formula>2.75</formula>
      <formula>3</formula>
    </cfRule>
    <cfRule type="cellIs" dxfId="463" priority="77" operator="between">
      <formula>1.75</formula>
      <formula>2.75</formula>
    </cfRule>
    <cfRule type="cellIs" dxfId="462" priority="78" operator="equal">
      <formula>0</formula>
    </cfRule>
  </conditionalFormatting>
  <conditionalFormatting sqref="E35">
    <cfRule type="cellIs" dxfId="461" priority="73" operator="between">
      <formula>2.75</formula>
      <formula>3</formula>
    </cfRule>
    <cfRule type="cellIs" dxfId="460" priority="74" operator="between">
      <formula>1.75</formula>
      <formula>2.75</formula>
    </cfRule>
    <cfRule type="cellIs" dxfId="459" priority="75" operator="equal">
      <formula>0</formula>
    </cfRule>
  </conditionalFormatting>
  <conditionalFormatting sqref="E40">
    <cfRule type="cellIs" dxfId="458" priority="70" operator="between">
      <formula>2.75</formula>
      <formula>3</formula>
    </cfRule>
    <cfRule type="cellIs" dxfId="457" priority="71" operator="between">
      <formula>1.75</formula>
      <formula>2.75</formula>
    </cfRule>
    <cfRule type="cellIs" dxfId="456" priority="72" operator="equal">
      <formula>0</formula>
    </cfRule>
  </conditionalFormatting>
  <conditionalFormatting sqref="E43">
    <cfRule type="cellIs" dxfId="455" priority="67" operator="between">
      <formula>2.75</formula>
      <formula>3</formula>
    </cfRule>
    <cfRule type="cellIs" dxfId="454" priority="68" operator="between">
      <formula>1.75</formula>
      <formula>2.75</formula>
    </cfRule>
    <cfRule type="cellIs" dxfId="453" priority="69" operator="equal">
      <formula>0</formula>
    </cfRule>
  </conditionalFormatting>
  <conditionalFormatting sqref="E46">
    <cfRule type="cellIs" dxfId="452" priority="64" operator="between">
      <formula>2.75</formula>
      <formula>3</formula>
    </cfRule>
    <cfRule type="cellIs" dxfId="451" priority="65" operator="between">
      <formula>1.75</formula>
      <formula>2.75</formula>
    </cfRule>
    <cfRule type="cellIs" dxfId="450" priority="66" operator="equal">
      <formula>0</formula>
    </cfRule>
  </conditionalFormatting>
  <conditionalFormatting sqref="E49">
    <cfRule type="cellIs" dxfId="449" priority="61" operator="between">
      <formula>2.75</formula>
      <formula>3</formula>
    </cfRule>
    <cfRule type="cellIs" dxfId="448" priority="62" operator="between">
      <formula>1.75</formula>
      <formula>2.75</formula>
    </cfRule>
    <cfRule type="cellIs" dxfId="447" priority="63" operator="equal">
      <formula>0</formula>
    </cfRule>
  </conditionalFormatting>
  <conditionalFormatting sqref="E52">
    <cfRule type="cellIs" dxfId="446" priority="58" operator="between">
      <formula>2.75</formula>
      <formula>3</formula>
    </cfRule>
    <cfRule type="cellIs" dxfId="445" priority="59" operator="between">
      <formula>1.75</formula>
      <formula>2.75</formula>
    </cfRule>
    <cfRule type="cellIs" dxfId="444" priority="60" operator="equal">
      <formula>0</formula>
    </cfRule>
  </conditionalFormatting>
  <conditionalFormatting sqref="E55">
    <cfRule type="cellIs" dxfId="443" priority="55" operator="between">
      <formula>2.75</formula>
      <formula>3</formula>
    </cfRule>
    <cfRule type="cellIs" dxfId="442" priority="56" operator="between">
      <formula>1.75</formula>
      <formula>2.75</formula>
    </cfRule>
    <cfRule type="cellIs" dxfId="441" priority="57" operator="equal">
      <formula>0</formula>
    </cfRule>
  </conditionalFormatting>
  <conditionalFormatting sqref="E58">
    <cfRule type="cellIs" dxfId="440" priority="52" operator="between">
      <formula>2.75</formula>
      <formula>3</formula>
    </cfRule>
    <cfRule type="cellIs" dxfId="439" priority="53" operator="between">
      <formula>1.75</formula>
      <formula>2.75</formula>
    </cfRule>
    <cfRule type="cellIs" dxfId="438" priority="54" operator="equal">
      <formula>0</formula>
    </cfRule>
  </conditionalFormatting>
  <conditionalFormatting sqref="E61">
    <cfRule type="cellIs" dxfId="437" priority="49" operator="between">
      <formula>2.75</formula>
      <formula>3</formula>
    </cfRule>
    <cfRule type="cellIs" dxfId="436" priority="50" operator="between">
      <formula>1.75</formula>
      <formula>2.75</formula>
    </cfRule>
    <cfRule type="cellIs" dxfId="435" priority="51" operator="equal">
      <formula>0</formula>
    </cfRule>
  </conditionalFormatting>
  <conditionalFormatting sqref="E64">
    <cfRule type="cellIs" dxfId="434" priority="46" operator="between">
      <formula>2.75</formula>
      <formula>3</formula>
    </cfRule>
    <cfRule type="cellIs" dxfId="433" priority="47" operator="between">
      <formula>1.75</formula>
      <formula>2.75</formula>
    </cfRule>
    <cfRule type="cellIs" dxfId="432" priority="48" operator="equal">
      <formula>0</formula>
    </cfRule>
  </conditionalFormatting>
  <conditionalFormatting sqref="E67">
    <cfRule type="cellIs" dxfId="431" priority="43" operator="between">
      <formula>2.75</formula>
      <formula>3</formula>
    </cfRule>
    <cfRule type="cellIs" dxfId="430" priority="44" operator="between">
      <formula>1.75</formula>
      <formula>2.75</formula>
    </cfRule>
    <cfRule type="cellIs" dxfId="429" priority="45" operator="equal">
      <formula>0</formula>
    </cfRule>
  </conditionalFormatting>
  <conditionalFormatting sqref="E70">
    <cfRule type="cellIs" dxfId="428" priority="40" operator="between">
      <formula>2.75</formula>
      <formula>3</formula>
    </cfRule>
    <cfRule type="cellIs" dxfId="427" priority="41" operator="between">
      <formula>1.75</formula>
      <formula>2.75</formula>
    </cfRule>
    <cfRule type="cellIs" dxfId="426" priority="42" operator="equal">
      <formula>0</formula>
    </cfRule>
  </conditionalFormatting>
  <conditionalFormatting sqref="E73">
    <cfRule type="cellIs" dxfId="425" priority="37" operator="between">
      <formula>2.75</formula>
      <formula>3</formula>
    </cfRule>
    <cfRule type="cellIs" dxfId="424" priority="38" operator="between">
      <formula>1.75</formula>
      <formula>2.75</formula>
    </cfRule>
    <cfRule type="cellIs" dxfId="423" priority="39" operator="equal">
      <formula>0</formula>
    </cfRule>
  </conditionalFormatting>
  <conditionalFormatting sqref="E76">
    <cfRule type="cellIs" dxfId="422" priority="34" operator="between">
      <formula>2.75</formula>
      <formula>3</formula>
    </cfRule>
    <cfRule type="cellIs" dxfId="421" priority="35" operator="between">
      <formula>1.75</formula>
      <formula>2.75</formula>
    </cfRule>
    <cfRule type="cellIs" dxfId="420" priority="36" operator="equal">
      <formula>0</formula>
    </cfRule>
  </conditionalFormatting>
  <conditionalFormatting sqref="E79">
    <cfRule type="cellIs" dxfId="419" priority="31" operator="between">
      <formula>2.75</formula>
      <formula>3</formula>
    </cfRule>
    <cfRule type="cellIs" dxfId="418" priority="32" operator="between">
      <formula>1.75</formula>
      <formula>2.75</formula>
    </cfRule>
    <cfRule type="cellIs" dxfId="417" priority="33" operator="equal">
      <formula>0</formula>
    </cfRule>
  </conditionalFormatting>
  <conditionalFormatting sqref="E82">
    <cfRule type="cellIs" dxfId="416" priority="28" operator="between">
      <formula>2.75</formula>
      <formula>3</formula>
    </cfRule>
    <cfRule type="cellIs" dxfId="415" priority="29" operator="between">
      <formula>1.75</formula>
      <formula>2.75</formula>
    </cfRule>
    <cfRule type="cellIs" dxfId="414" priority="30" operator="equal">
      <formula>0</formula>
    </cfRule>
  </conditionalFormatting>
  <conditionalFormatting sqref="E85">
    <cfRule type="cellIs" dxfId="413" priority="25" operator="between">
      <formula>2.75</formula>
      <formula>3</formula>
    </cfRule>
    <cfRule type="cellIs" dxfId="412" priority="26" operator="between">
      <formula>1.75</formula>
      <formula>2.75</formula>
    </cfRule>
    <cfRule type="cellIs" dxfId="411" priority="27" operator="equal">
      <formula>0</formula>
    </cfRule>
  </conditionalFormatting>
  <conditionalFormatting sqref="E88">
    <cfRule type="cellIs" dxfId="410" priority="22" operator="between">
      <formula>2.75</formula>
      <formula>3</formula>
    </cfRule>
    <cfRule type="cellIs" dxfId="409" priority="23" operator="between">
      <formula>1.75</formula>
      <formula>2.75</formula>
    </cfRule>
    <cfRule type="cellIs" dxfId="408" priority="24" operator="equal">
      <formula>0</formula>
    </cfRule>
  </conditionalFormatting>
  <conditionalFormatting sqref="E91">
    <cfRule type="cellIs" dxfId="407" priority="19" operator="between">
      <formula>2.75</formula>
      <formula>3</formula>
    </cfRule>
    <cfRule type="cellIs" dxfId="406" priority="20" operator="between">
      <formula>1.75</formula>
      <formula>2.75</formula>
    </cfRule>
    <cfRule type="cellIs" dxfId="405" priority="21" operator="equal">
      <formula>0</formula>
    </cfRule>
  </conditionalFormatting>
  <conditionalFormatting sqref="E94">
    <cfRule type="cellIs" dxfId="404" priority="16" operator="between">
      <formula>2.75</formula>
      <formula>3</formula>
    </cfRule>
    <cfRule type="cellIs" dxfId="403" priority="17" operator="between">
      <formula>1.75</formula>
      <formula>2.75</formula>
    </cfRule>
    <cfRule type="cellIs" dxfId="402" priority="18" operator="equal">
      <formula>0</formula>
    </cfRule>
  </conditionalFormatting>
  <conditionalFormatting sqref="E97">
    <cfRule type="cellIs" dxfId="401" priority="13" operator="between">
      <formula>2.75</formula>
      <formula>3</formula>
    </cfRule>
    <cfRule type="cellIs" dxfId="400" priority="14" operator="between">
      <formula>1.75</formula>
      <formula>2.75</formula>
    </cfRule>
    <cfRule type="cellIs" dxfId="399" priority="15" operator="equal">
      <formula>0</formula>
    </cfRule>
  </conditionalFormatting>
  <conditionalFormatting sqref="E100">
    <cfRule type="cellIs" dxfId="398" priority="10" operator="between">
      <formula>2.75</formula>
      <formula>3</formula>
    </cfRule>
    <cfRule type="cellIs" dxfId="397" priority="11" operator="between">
      <formula>1.75</formula>
      <formula>2.75</formula>
    </cfRule>
    <cfRule type="cellIs" dxfId="396" priority="12" operator="equal">
      <formula>0</formula>
    </cfRule>
  </conditionalFormatting>
  <conditionalFormatting sqref="E103">
    <cfRule type="cellIs" dxfId="395" priority="7" operator="between">
      <formula>2.75</formula>
      <formula>3</formula>
    </cfRule>
    <cfRule type="cellIs" dxfId="394" priority="8" operator="between">
      <formula>1.75</formula>
      <formula>2.75</formula>
    </cfRule>
    <cfRule type="cellIs" dxfId="393" priority="9" operator="equal">
      <formula>0</formula>
    </cfRule>
  </conditionalFormatting>
  <conditionalFormatting sqref="E106">
    <cfRule type="cellIs" dxfId="392" priority="4" operator="between">
      <formula>2.75</formula>
      <formula>3</formula>
    </cfRule>
    <cfRule type="cellIs" dxfId="391" priority="5" operator="between">
      <formula>1.75</formula>
      <formula>2.75</formula>
    </cfRule>
    <cfRule type="cellIs" dxfId="390" priority="6" operator="equal">
      <formula>0</formula>
    </cfRule>
  </conditionalFormatting>
  <conditionalFormatting sqref="E109">
    <cfRule type="cellIs" dxfId="389" priority="1" operator="between">
      <formula>2.75</formula>
      <formula>3</formula>
    </cfRule>
    <cfRule type="cellIs" dxfId="388" priority="2" operator="between">
      <formula>1.75</formula>
      <formula>2.75</formula>
    </cfRule>
    <cfRule type="cellIs" dxfId="387" priority="3" operator="equal">
      <formula>0</formula>
    </cfRule>
  </conditionalFormatting>
  <conditionalFormatting sqref="F7:I7">
    <cfRule type="cellIs" dxfId="386" priority="94" operator="equal">
      <formula>3</formula>
    </cfRule>
    <cfRule type="cellIs" dxfId="385" priority="95" operator="between">
      <formula>2</formula>
      <formula>3</formula>
    </cfRule>
    <cfRule type="cellIs" dxfId="384" priority="96" operator="between">
      <formula>0</formula>
      <formula>2</formula>
    </cfRule>
  </conditionalFormatting>
  <conditionalFormatting sqref="K1:K4">
    <cfRule type="cellIs" dxfId="383" priority="200" stopIfTrue="1" operator="between">
      <formula>2.75</formula>
      <formula>3</formula>
    </cfRule>
    <cfRule type="cellIs" dxfId="382" priority="201" stopIfTrue="1" operator="between">
      <formula>1.5</formula>
      <formula>2.75</formula>
    </cfRule>
    <cfRule type="cellIs" dxfId="381" priority="202" stopIfTrue="1" operator="between">
      <formula>0</formula>
      <formula>1.5</formula>
    </cfRule>
  </conditionalFormatting>
  <dataValidations count="1">
    <dataValidation type="list" allowBlank="1" showInputMessage="1" showErrorMessage="1" sqref="D11 D14 D17 D20 D23 D26 D29 D32 D35 D40 D43 D46 D49 D52 D55 D58 D61 D64 D67 D70 D73 D76 D79 D82 D85 D88 D91 D94 D97 D100 D103 D106 D109" xr:uid="{00000000-0002-0000-0300-000000000000}">
      <formula1>Rating</formula1>
    </dataValidation>
  </dataValidations>
  <pageMargins left="0.7" right="0.7" top="0.75" bottom="0.75" header="0.3" footer="0.3"/>
  <pageSetup paperSize="9" orientation="portrait" r:id="rId1"/>
  <customProperties>
    <customPr name="_pios_id" r:id="rId2"/>
  </customProperties>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Q160"/>
  <sheetViews>
    <sheetView zoomScaleNormal="100" workbookViewId="0">
      <pane ySplit="7" topLeftCell="A126" activePane="bottomLeft" state="frozen"/>
      <selection pane="bottomLeft" activeCell="P92" sqref="P92:P155"/>
    </sheetView>
  </sheetViews>
  <sheetFormatPr defaultColWidth="8.6328125" defaultRowHeight="14.5" x14ac:dyDescent="0.35"/>
  <cols>
    <col min="2" max="2" width="9.36328125" style="14"/>
    <col min="3" max="3" width="52.453125" style="12" customWidth="1"/>
    <col min="4" max="4" width="45.453125" style="12" customWidth="1"/>
    <col min="6" max="6" width="5.453125" customWidth="1"/>
    <col min="7" max="7" width="4.36328125" bestFit="1" customWidth="1"/>
    <col min="8" max="8" width="4.6328125" customWidth="1"/>
    <col min="9" max="9" width="4.453125" customWidth="1"/>
    <col min="10" max="10" width="4.6328125" customWidth="1"/>
    <col min="11" max="11" width="10.453125" customWidth="1"/>
    <col min="14" max="14" width="10.36328125" customWidth="1"/>
    <col min="17" max="17" width="10.453125" customWidth="1"/>
  </cols>
  <sheetData>
    <row r="1" spans="1:17" x14ac:dyDescent="0.35">
      <c r="A1" s="1" t="s">
        <v>7</v>
      </c>
      <c r="F1" s="4"/>
      <c r="G1" s="4"/>
      <c r="H1" s="4"/>
      <c r="I1" s="4"/>
      <c r="J1" s="9" t="s">
        <v>88</v>
      </c>
      <c r="K1" s="9">
        <v>3</v>
      </c>
      <c r="L1" t="s">
        <v>301</v>
      </c>
      <c r="M1" s="2"/>
      <c r="N1" s="2"/>
      <c r="O1" s="2"/>
      <c r="P1" s="2"/>
    </row>
    <row r="2" spans="1:17" x14ac:dyDescent="0.35">
      <c r="A2" s="2" t="s">
        <v>8</v>
      </c>
      <c r="F2" s="16" t="s">
        <v>302</v>
      </c>
      <c r="G2" s="4"/>
      <c r="H2" s="4"/>
      <c r="I2" s="4"/>
      <c r="K2" s="9">
        <v>2</v>
      </c>
      <c r="L2" t="s">
        <v>303</v>
      </c>
      <c r="M2" s="2"/>
      <c r="N2" s="2"/>
      <c r="O2" s="2"/>
      <c r="P2" s="2"/>
    </row>
    <row r="3" spans="1:17" x14ac:dyDescent="0.35">
      <c r="A3" s="2" t="s">
        <v>9</v>
      </c>
      <c r="F3" t="s">
        <v>304</v>
      </c>
      <c r="G3" s="4"/>
      <c r="H3" s="4"/>
      <c r="I3" s="4"/>
      <c r="K3" s="9">
        <v>0</v>
      </c>
      <c r="L3" t="s">
        <v>305</v>
      </c>
      <c r="M3" s="2"/>
      <c r="N3" s="2"/>
      <c r="O3" s="2"/>
      <c r="P3" s="2"/>
    </row>
    <row r="4" spans="1:17" x14ac:dyDescent="0.35">
      <c r="A4" s="2" t="s">
        <v>10</v>
      </c>
      <c r="C4" s="14" t="s">
        <v>11</v>
      </c>
      <c r="F4" s="4"/>
      <c r="G4" s="4"/>
      <c r="H4" s="4"/>
      <c r="I4" s="4"/>
      <c r="K4" s="9" t="s">
        <v>306</v>
      </c>
      <c r="L4" t="s">
        <v>307</v>
      </c>
      <c r="M4" s="2"/>
      <c r="N4" s="2"/>
      <c r="O4" s="2"/>
      <c r="P4" s="2"/>
    </row>
    <row r="5" spans="1:17" x14ac:dyDescent="0.35">
      <c r="F5" s="4"/>
      <c r="G5" s="4"/>
      <c r="H5" s="4"/>
      <c r="I5" s="4"/>
      <c r="J5" s="3"/>
      <c r="K5" s="17" t="s">
        <v>32</v>
      </c>
      <c r="L5" s="2"/>
      <c r="M5" s="2"/>
      <c r="N5" s="2"/>
      <c r="O5" s="2"/>
      <c r="P5" s="4">
        <v>19</v>
      </c>
    </row>
    <row r="6" spans="1:17" ht="43.5" x14ac:dyDescent="0.35">
      <c r="A6" s="31"/>
      <c r="B6" s="80"/>
      <c r="C6" s="69"/>
      <c r="D6" s="69"/>
      <c r="F6" s="40" t="s">
        <v>23</v>
      </c>
      <c r="G6" s="40" t="s">
        <v>26</v>
      </c>
      <c r="H6" s="40" t="s">
        <v>28</v>
      </c>
      <c r="I6" s="40" t="s">
        <v>30</v>
      </c>
      <c r="J6" s="43" t="s">
        <v>94</v>
      </c>
      <c r="K6" s="61" t="s">
        <v>182</v>
      </c>
      <c r="L6" s="60" t="s">
        <v>308</v>
      </c>
      <c r="M6" s="60" t="s">
        <v>309</v>
      </c>
      <c r="N6" s="60" t="s">
        <v>310</v>
      </c>
      <c r="O6" s="60" t="s">
        <v>311</v>
      </c>
      <c r="P6" s="77" t="s">
        <v>420</v>
      </c>
      <c r="Q6" s="63" t="s">
        <v>313</v>
      </c>
    </row>
    <row r="7" spans="1:17" x14ac:dyDescent="0.35">
      <c r="A7" s="1" t="s">
        <v>45</v>
      </c>
      <c r="F7" s="42">
        <f>IFERROR(AVERAGE(E11,E17,E20,E23,E29,E32,E43,E57,E60,E63,E77,E83,E89,E136,E144,E152),"n/a")</f>
        <v>2.7142857142857144</v>
      </c>
      <c r="G7" s="42">
        <f>IFERROR(AVERAGE(E11,E14,E17,E20,E23,E26,E29,E32,E43,E51,E57,E60,E63,E68,E71,E77,E80,E83,E89,E92,E95,E101,E107,E113,E116,E119,E123,E127,E131,E136,E139,E144,E147,E152,E155),"n/a")</f>
        <v>2.6153846153846154</v>
      </c>
      <c r="H7" s="42">
        <f>IFERROR(AVERAGE(E11,E14,E17,E20,E23,E26,E29,E32,E43,E51,E54,E57,E60,E63,E68,E71,E77,E80,E83,E86,E89,E92,E95,E98,E101,E104,E107,E110,E113,E116,E119,E123,E127,E131,E136,E139,E144,E147,E152,E155),"n/a")</f>
        <v>2.6153846153846154</v>
      </c>
      <c r="I7" s="42">
        <f>IFERROR(AVERAGE(E11,E14,E17,E20,E23,E26,E29,E32,E35,E43,E51,E54,E57,E60,E63,E68,E71,E74,E77,E80,E83,E86,E89,E92,E95,E98,E101,E104,E107,E110,E113,E116,E119,E123,E127,E131,E136,E139,E144,E147,E152,E155),"n/a")</f>
        <v>2.6153846153846154</v>
      </c>
      <c r="P7" s="78" t="s">
        <v>315</v>
      </c>
    </row>
    <row r="8" spans="1:17" ht="87" x14ac:dyDescent="0.35">
      <c r="A8" s="1"/>
      <c r="B8" s="18"/>
      <c r="C8" s="18" t="s">
        <v>519</v>
      </c>
      <c r="D8" s="20" t="s">
        <v>317</v>
      </c>
      <c r="P8" s="78" t="s">
        <v>315</v>
      </c>
    </row>
    <row r="9" spans="1:17" x14ac:dyDescent="0.35">
      <c r="A9" s="30" t="s">
        <v>318</v>
      </c>
      <c r="B9" s="71" t="s">
        <v>207</v>
      </c>
      <c r="C9" s="84" t="s">
        <v>520</v>
      </c>
      <c r="D9" s="86" t="s">
        <v>321</v>
      </c>
      <c r="P9" s="78" t="str">
        <f>IF(COUNTA(K10:O10)=0,"No","Yes")</f>
        <v>Yes</v>
      </c>
      <c r="Q9" t="s">
        <v>315</v>
      </c>
    </row>
    <row r="10" spans="1:17" ht="29" x14ac:dyDescent="0.35">
      <c r="C10" s="62" t="s">
        <v>521</v>
      </c>
      <c r="D10" s="85"/>
      <c r="K10" t="s">
        <v>522</v>
      </c>
      <c r="M10" t="s">
        <v>522</v>
      </c>
      <c r="N10" t="s">
        <v>522</v>
      </c>
      <c r="P10" s="78" t="str">
        <f>IF(COUNTA(K10:O10)=0,"No","Yes")</f>
        <v>Yes</v>
      </c>
      <c r="Q10" t="s">
        <v>315</v>
      </c>
    </row>
    <row r="11" spans="1:17" ht="15" thickBot="1" x14ac:dyDescent="0.4">
      <c r="A11" s="29"/>
      <c r="B11" s="73"/>
      <c r="C11" s="82" t="s">
        <v>304</v>
      </c>
      <c r="D11" s="83" t="s">
        <v>301</v>
      </c>
      <c r="E11" s="29">
        <f>IF(D11=FR3_SI!$L$1,FR3_SI!$K$1,(IF(D11=FR3_SI!$L$2,FR3_SI!$K$2,(IF(D11=FR3_SI!$L$3,FR3_SI!$K$3,(IF(D11=FR3_SI!$L$4,FR3_SI!$K$4,FR3_SI!$K$5)))))))</f>
        <v>3</v>
      </c>
      <c r="F11">
        <v>1</v>
      </c>
      <c r="G11">
        <v>2</v>
      </c>
      <c r="H11">
        <v>3</v>
      </c>
      <c r="I11">
        <v>4</v>
      </c>
      <c r="J11">
        <f>MIN(F11:I11)</f>
        <v>1</v>
      </c>
      <c r="P11" s="78" t="str">
        <f>IF(COUNTA(K10:O10)=0,"No","Yes")</f>
        <v>Yes</v>
      </c>
      <c r="Q11" t="s">
        <v>315</v>
      </c>
    </row>
    <row r="12" spans="1:17" x14ac:dyDescent="0.35">
      <c r="A12" t="s">
        <v>325</v>
      </c>
      <c r="B12" s="74" t="s">
        <v>523</v>
      </c>
      <c r="C12" s="74" t="s">
        <v>524</v>
      </c>
      <c r="D12" s="13" t="s">
        <v>321</v>
      </c>
      <c r="P12" s="78" t="str">
        <f>IF(COUNTA(K13:O13)=0,"No","Yes")</f>
        <v>Yes</v>
      </c>
      <c r="Q12" t="s">
        <v>315</v>
      </c>
    </row>
    <row r="13" spans="1:17" ht="46.4" customHeight="1" x14ac:dyDescent="0.35">
      <c r="C13" s="66" t="s">
        <v>525</v>
      </c>
      <c r="D13" s="85" t="s">
        <v>526</v>
      </c>
      <c r="K13" t="s">
        <v>522</v>
      </c>
      <c r="M13" s="95" t="s">
        <v>522</v>
      </c>
      <c r="N13" s="95" t="s">
        <v>522</v>
      </c>
      <c r="P13" s="78" t="str">
        <f>IF(COUNTA(K13:O13)=0,"No","Yes")</f>
        <v>Yes</v>
      </c>
      <c r="Q13" t="s">
        <v>315</v>
      </c>
    </row>
    <row r="14" spans="1:17" ht="15" thickBot="1" x14ac:dyDescent="0.4">
      <c r="A14" s="29"/>
      <c r="B14" s="73"/>
      <c r="C14" s="82" t="s">
        <v>304</v>
      </c>
      <c r="D14" s="83"/>
      <c r="E14" s="29" t="str">
        <f>IF(D14=FR3_SI!$L$1,FR3_SI!$K$1,(IF(D14=FR3_SI!$L$2,FR3_SI!$K$2,(IF(D14=FR3_SI!$L$3,FR3_SI!$K$3,(IF(D14=FR3_SI!$L$4,FR3_SI!$K$4,FR3_SI!$K$5)))))))</f>
        <v/>
      </c>
      <c r="G14">
        <v>2</v>
      </c>
      <c r="H14">
        <v>3</v>
      </c>
      <c r="I14">
        <v>4</v>
      </c>
      <c r="J14">
        <f>MIN(F14:I14)</f>
        <v>2</v>
      </c>
      <c r="P14" s="78" t="str">
        <f>IF(COUNTA(K13:O13)=0,"No","Yes")</f>
        <v>Yes</v>
      </c>
      <c r="Q14" t="s">
        <v>315</v>
      </c>
    </row>
    <row r="15" spans="1:17" hidden="1" x14ac:dyDescent="0.35">
      <c r="A15" t="s">
        <v>446</v>
      </c>
      <c r="B15" s="25" t="s">
        <v>527</v>
      </c>
      <c r="C15" s="25" t="s">
        <v>528</v>
      </c>
      <c r="D15" s="5" t="s">
        <v>321</v>
      </c>
      <c r="P15" s="78" t="str">
        <f>IF(COUNTA(K16:O16)=0,"No","Yes")</f>
        <v>No</v>
      </c>
    </row>
    <row r="16" spans="1:17" ht="58" hidden="1" x14ac:dyDescent="0.35">
      <c r="B16" s="2"/>
      <c r="C16" s="24" t="s">
        <v>529</v>
      </c>
      <c r="D16" s="19"/>
      <c r="P16" s="78" t="str">
        <f>IF(COUNTA(K16:O16)=0,"No","Yes")</f>
        <v>No</v>
      </c>
    </row>
    <row r="17" spans="1:17" ht="15" hidden="1" thickBot="1" x14ac:dyDescent="0.4">
      <c r="A17" s="29"/>
      <c r="B17" s="22"/>
      <c r="C17" s="26" t="s">
        <v>304</v>
      </c>
      <c r="D17" s="54"/>
      <c r="E17" s="29" t="str">
        <f>IF(D17=FR3_SI!$L$1,FR3_SI!$K$1,(IF(D17=FR3_SI!$L$2,FR3_SI!$K$2,(IF(D17=FR3_SI!$L$3,FR3_SI!$K$3,(IF(D17=FR3_SI!$L$4,FR3_SI!$K$4,FR3_SI!$K$5)))))))</f>
        <v/>
      </c>
      <c r="F17">
        <v>1</v>
      </c>
      <c r="G17">
        <v>2</v>
      </c>
      <c r="H17">
        <v>3</v>
      </c>
      <c r="I17">
        <v>4</v>
      </c>
      <c r="J17">
        <f>MIN(F17:I17)</f>
        <v>1</v>
      </c>
      <c r="P17" s="78" t="str">
        <f>IF(COUNTA(K16:O16)=0,"No","Yes")</f>
        <v>No</v>
      </c>
    </row>
    <row r="18" spans="1:17" hidden="1" x14ac:dyDescent="0.35">
      <c r="A18" t="s">
        <v>454</v>
      </c>
      <c r="B18" s="74" t="s">
        <v>530</v>
      </c>
      <c r="C18" s="74" t="s">
        <v>528</v>
      </c>
      <c r="D18" s="13" t="s">
        <v>321</v>
      </c>
      <c r="P18" s="78" t="str">
        <f>IF(COUNTA(K19:O19)=0,"No","Yes")</f>
        <v>No</v>
      </c>
      <c r="Q18" t="s">
        <v>315</v>
      </c>
    </row>
    <row r="19" spans="1:17" ht="58" hidden="1" x14ac:dyDescent="0.35">
      <c r="C19" s="66" t="s">
        <v>531</v>
      </c>
      <c r="D19" s="85" t="s">
        <v>532</v>
      </c>
      <c r="P19" s="78" t="str">
        <f>IF(COUNTA(K19:O19)=0,"No","Yes")</f>
        <v>No</v>
      </c>
      <c r="Q19" t="s">
        <v>315</v>
      </c>
    </row>
    <row r="20" spans="1:17" ht="29.5" hidden="1" thickBot="1" x14ac:dyDescent="0.4">
      <c r="A20" s="29"/>
      <c r="B20" s="73"/>
      <c r="C20" s="82" t="s">
        <v>304</v>
      </c>
      <c r="D20" s="83" t="s">
        <v>303</v>
      </c>
      <c r="E20" s="29">
        <f>IF(D20=FR3_SI!$L$1,FR3_SI!$K$1,(IF(D20=FR3_SI!$L$2,FR3_SI!$K$2,(IF(D20=FR3_SI!$L$3,FR3_SI!$K$3,(IF(D20=FR3_SI!$L$4,FR3_SI!$K$4,FR3_SI!$K$5)))))))</f>
        <v>2</v>
      </c>
      <c r="F20">
        <v>1</v>
      </c>
      <c r="G20">
        <v>2</v>
      </c>
      <c r="H20">
        <v>3</v>
      </c>
      <c r="I20">
        <v>4</v>
      </c>
      <c r="J20">
        <f>MIN(F20:I20)</f>
        <v>1</v>
      </c>
      <c r="P20" s="78" t="str">
        <f>IF(COUNTA(K19:O19)=0,"No","Yes")</f>
        <v>No</v>
      </c>
      <c r="Q20" t="s">
        <v>315</v>
      </c>
    </row>
    <row r="21" spans="1:17" hidden="1" x14ac:dyDescent="0.35">
      <c r="A21" t="s">
        <v>464</v>
      </c>
      <c r="B21" s="25" t="s">
        <v>527</v>
      </c>
      <c r="C21" s="25" t="s">
        <v>528</v>
      </c>
      <c r="D21" s="5" t="s">
        <v>321</v>
      </c>
      <c r="P21" s="78" t="str">
        <f>IF(COUNTA(K22:O22)=0,"No","Yes")</f>
        <v>No</v>
      </c>
    </row>
    <row r="22" spans="1:17" ht="72.5" hidden="1" x14ac:dyDescent="0.35">
      <c r="B22" s="2"/>
      <c r="C22" s="24" t="s">
        <v>533</v>
      </c>
      <c r="D22" s="19"/>
      <c r="P22" s="78" t="str">
        <f>IF(COUNTA(K22:O22)=0,"No","Yes")</f>
        <v>No</v>
      </c>
    </row>
    <row r="23" spans="1:17" ht="15" hidden="1" thickBot="1" x14ac:dyDescent="0.4">
      <c r="A23" s="29"/>
      <c r="B23" s="22"/>
      <c r="C23" s="26" t="s">
        <v>304</v>
      </c>
      <c r="D23" s="54"/>
      <c r="E23" s="29" t="str">
        <f>IF(D23=FR3_SI!$L$1,FR3_SI!$K$1,(IF(D23=FR3_SI!$L$2,FR3_SI!$K$2,(IF(D23=FR3_SI!$L$3,FR3_SI!$K$3,(IF(D23=FR3_SI!$L$4,FR3_SI!$K$4,FR3_SI!$K$5)))))))</f>
        <v/>
      </c>
      <c r="F23">
        <v>1</v>
      </c>
      <c r="G23">
        <v>2</v>
      </c>
      <c r="H23">
        <v>3</v>
      </c>
      <c r="I23">
        <v>4</v>
      </c>
      <c r="J23">
        <f>MIN(F23:I23)</f>
        <v>1</v>
      </c>
      <c r="P23" s="78" t="str">
        <f>IF(COUNTA(K22:O22)=0,"No","Yes")</f>
        <v>No</v>
      </c>
    </row>
    <row r="24" spans="1:17" hidden="1" x14ac:dyDescent="0.35">
      <c r="A24" t="s">
        <v>466</v>
      </c>
      <c r="B24" s="25" t="s">
        <v>534</v>
      </c>
      <c r="C24" s="25" t="s">
        <v>535</v>
      </c>
      <c r="D24" s="5" t="s">
        <v>321</v>
      </c>
      <c r="P24" s="78" t="str">
        <f>IF(COUNTA(K25:O25)=0,"No","Yes")</f>
        <v>No</v>
      </c>
    </row>
    <row r="25" spans="1:17" ht="43.5" hidden="1" x14ac:dyDescent="0.35">
      <c r="B25" s="2"/>
      <c r="C25" s="24" t="s">
        <v>536</v>
      </c>
      <c r="D25" s="19"/>
      <c r="P25" s="78" t="str">
        <f>IF(COUNTA(K25:O25)=0,"No","Yes")</f>
        <v>No</v>
      </c>
    </row>
    <row r="26" spans="1:17" ht="15" hidden="1" thickBot="1" x14ac:dyDescent="0.4">
      <c r="A26" s="29"/>
      <c r="B26" s="22"/>
      <c r="C26" s="26" t="s">
        <v>304</v>
      </c>
      <c r="D26" s="54"/>
      <c r="E26" s="29" t="str">
        <f>IF(D26=FR3_SI!$L$1,FR3_SI!$K$1,(IF(D26=FR3_SI!$L$2,FR3_SI!$K$2,(IF(D26=FR3_SI!$L$3,FR3_SI!$K$3,(IF(D26=FR3_SI!$L$4,FR3_SI!$K$4,FR3_SI!$K$5)))))))</f>
        <v/>
      </c>
      <c r="G26">
        <v>2</v>
      </c>
      <c r="H26">
        <v>3</v>
      </c>
      <c r="I26">
        <v>4</v>
      </c>
      <c r="J26">
        <f>MIN(F26:I26)</f>
        <v>2</v>
      </c>
      <c r="P26" s="78" t="str">
        <f>IF(COUNTA(K25:O25)=0,"No","Yes")</f>
        <v>No</v>
      </c>
    </row>
    <row r="27" spans="1:17" hidden="1" x14ac:dyDescent="0.35">
      <c r="A27" t="s">
        <v>373</v>
      </c>
      <c r="B27" s="74" t="s">
        <v>527</v>
      </c>
      <c r="C27" s="74" t="s">
        <v>528</v>
      </c>
      <c r="D27" s="13" t="s">
        <v>321</v>
      </c>
      <c r="P27" s="78" t="str">
        <f>IF(COUNTA(K28:O28)=0,"No","Yes")</f>
        <v>No</v>
      </c>
      <c r="Q27" t="s">
        <v>315</v>
      </c>
    </row>
    <row r="28" spans="1:17" ht="29" hidden="1" x14ac:dyDescent="0.35">
      <c r="C28" s="66" t="s">
        <v>537</v>
      </c>
      <c r="D28" s="85"/>
      <c r="P28" s="78" t="str">
        <f>IF(COUNTA(K28:O28)=0,"No","Yes")</f>
        <v>No</v>
      </c>
      <c r="Q28" t="s">
        <v>315</v>
      </c>
    </row>
    <row r="29" spans="1:17" ht="15" hidden="1" thickBot="1" x14ac:dyDescent="0.4">
      <c r="A29" s="29"/>
      <c r="B29" s="73"/>
      <c r="C29" s="82" t="s">
        <v>304</v>
      </c>
      <c r="D29" s="83"/>
      <c r="E29" s="29" t="str">
        <f>IF(D29=FR3_SI!$L$1,FR3_SI!$K$1,(IF(D29=FR3_SI!$L$2,FR3_SI!$K$2,(IF(D29=FR3_SI!$L$3,FR3_SI!$K$3,(IF(D29=FR3_SI!$L$4,FR3_SI!$K$4,FR3_SI!$K$5)))))))</f>
        <v/>
      </c>
      <c r="F29">
        <v>1</v>
      </c>
      <c r="G29">
        <v>2</v>
      </c>
      <c r="H29">
        <v>3</v>
      </c>
      <c r="I29">
        <v>4</v>
      </c>
      <c r="J29">
        <f>MIN(F29:I29)</f>
        <v>1</v>
      </c>
      <c r="P29" s="78" t="str">
        <f>IF(COUNTA(K28:O28)=0,"No","Yes")</f>
        <v>No</v>
      </c>
      <c r="Q29" t="s">
        <v>315</v>
      </c>
    </row>
    <row r="30" spans="1:17" hidden="1" x14ac:dyDescent="0.35">
      <c r="A30" t="s">
        <v>318</v>
      </c>
      <c r="B30" s="74" t="s">
        <v>538</v>
      </c>
      <c r="C30" s="74" t="s">
        <v>539</v>
      </c>
      <c r="D30" s="13" t="s">
        <v>321</v>
      </c>
      <c r="P30" s="78" t="str">
        <f>IF(COUNTA(K31:O31)=0,"No","Yes")</f>
        <v>No</v>
      </c>
      <c r="Q30" t="s">
        <v>315</v>
      </c>
    </row>
    <row r="31" spans="1:17" ht="45.75" hidden="1" customHeight="1" x14ac:dyDescent="0.35">
      <c r="C31" s="66" t="s">
        <v>540</v>
      </c>
      <c r="D31" s="85" t="s">
        <v>541</v>
      </c>
      <c r="P31" s="78" t="str">
        <f>IF(COUNTA(K31:O31)=0,"No","Yes")</f>
        <v>No</v>
      </c>
      <c r="Q31" t="s">
        <v>315</v>
      </c>
    </row>
    <row r="32" spans="1:17" ht="15" hidden="1" thickBot="1" x14ac:dyDescent="0.4">
      <c r="A32" s="29"/>
      <c r="B32" s="73"/>
      <c r="C32" s="82" t="s">
        <v>304</v>
      </c>
      <c r="D32" s="83"/>
      <c r="E32" s="29" t="str">
        <f>IF(D32=FR3_SI!$L$1,FR3_SI!$K$1,(IF(D32=FR3_SI!$L$2,FR3_SI!$K$2,(IF(D32=FR3_SI!$L$3,FR3_SI!$K$3,(IF(D32=FR3_SI!$L$4,FR3_SI!$K$4,FR3_SI!$K$5)))))))</f>
        <v/>
      </c>
      <c r="F32">
        <v>1</v>
      </c>
      <c r="G32">
        <v>2</v>
      </c>
      <c r="H32">
        <v>3</v>
      </c>
      <c r="I32">
        <v>4</v>
      </c>
      <c r="J32">
        <f>MIN(F32:I32)</f>
        <v>1</v>
      </c>
      <c r="P32" s="78" t="str">
        <f>IF(COUNTA(K31:O31)=0,"No","Yes")</f>
        <v>No</v>
      </c>
      <c r="Q32" t="s">
        <v>315</v>
      </c>
    </row>
    <row r="33" spans="1:17" hidden="1" x14ac:dyDescent="0.35">
      <c r="A33" t="s">
        <v>325</v>
      </c>
      <c r="B33" s="25" t="s">
        <v>542</v>
      </c>
      <c r="C33" s="25" t="s">
        <v>543</v>
      </c>
      <c r="D33" s="5" t="s">
        <v>321</v>
      </c>
      <c r="P33" s="78" t="str">
        <f>IF(COUNTA(K34:O34)=0,"No","Yes")</f>
        <v>No</v>
      </c>
    </row>
    <row r="34" spans="1:17" ht="72.5" hidden="1" x14ac:dyDescent="0.35">
      <c r="B34" s="2"/>
      <c r="C34" s="24" t="s">
        <v>544</v>
      </c>
      <c r="D34" s="19"/>
      <c r="P34" s="78" t="str">
        <f>IF(COUNTA(K34:O34)=0,"No","Yes")</f>
        <v>No</v>
      </c>
    </row>
    <row r="35" spans="1:17" ht="18.75" hidden="1" customHeight="1" thickBot="1" x14ac:dyDescent="0.4">
      <c r="A35" s="29"/>
      <c r="B35" s="22"/>
      <c r="C35" s="26" t="s">
        <v>304</v>
      </c>
      <c r="D35" s="54"/>
      <c r="E35" s="29" t="str">
        <f>IF(D35=FR3_SI!$L$1,FR3_SI!$K$1,(IF(D35=FR3_SI!$L$2,FR3_SI!$K$2,(IF(D35=FR3_SI!$L$3,FR3_SI!$K$3,(IF(D35=FR3_SI!$L$4,FR3_SI!$K$4,FR3_SI!$K$5)))))))</f>
        <v/>
      </c>
      <c r="I35">
        <v>4</v>
      </c>
      <c r="J35">
        <f>MIN(F35:I35)</f>
        <v>4</v>
      </c>
      <c r="P35" s="78" t="str">
        <f>IF(COUNTA(K34:O34)=0,"No","Yes")</f>
        <v>No</v>
      </c>
    </row>
    <row r="36" spans="1:17" x14ac:dyDescent="0.35">
      <c r="A36" t="s">
        <v>318</v>
      </c>
      <c r="B36" s="74" t="s">
        <v>545</v>
      </c>
      <c r="C36" s="74" t="s">
        <v>546</v>
      </c>
      <c r="D36" s="13" t="s">
        <v>321</v>
      </c>
      <c r="P36" s="78" t="str">
        <f>IF(COUNTA(#REF!)=0,"No","Yes")</f>
        <v>Yes</v>
      </c>
      <c r="Q36" t="s">
        <v>315</v>
      </c>
    </row>
    <row r="37" spans="1:17" ht="72.5" x14ac:dyDescent="0.35">
      <c r="B37" s="14" t="s">
        <v>547</v>
      </c>
      <c r="C37" s="66" t="s">
        <v>548</v>
      </c>
      <c r="D37" s="85" t="s">
        <v>549</v>
      </c>
      <c r="K37" t="s">
        <v>550</v>
      </c>
      <c r="M37" s="95" t="s">
        <v>551</v>
      </c>
      <c r="N37" s="95" t="s">
        <v>550</v>
      </c>
      <c r="P37" s="78" t="s">
        <v>315</v>
      </c>
      <c r="Q37" t="s">
        <v>315</v>
      </c>
    </row>
    <row r="38" spans="1:17" ht="43.5" hidden="1" x14ac:dyDescent="0.35">
      <c r="B38" s="14" t="s">
        <v>552</v>
      </c>
      <c r="C38" s="66" t="s">
        <v>553</v>
      </c>
      <c r="D38" s="85"/>
      <c r="P38" s="78" t="s">
        <v>105</v>
      </c>
      <c r="Q38" t="s">
        <v>315</v>
      </c>
    </row>
    <row r="39" spans="1:17" ht="43.5" hidden="1" x14ac:dyDescent="0.35">
      <c r="B39" s="14" t="s">
        <v>554</v>
      </c>
      <c r="C39" s="66" t="s">
        <v>555</v>
      </c>
      <c r="D39" s="85"/>
      <c r="P39" s="78" t="s">
        <v>105</v>
      </c>
      <c r="Q39" t="s">
        <v>315</v>
      </c>
    </row>
    <row r="40" spans="1:17" ht="43.5" hidden="1" x14ac:dyDescent="0.35">
      <c r="B40" s="14" t="s">
        <v>556</v>
      </c>
      <c r="C40" s="66" t="s">
        <v>557</v>
      </c>
      <c r="D40" s="85"/>
      <c r="P40" s="78" t="s">
        <v>105</v>
      </c>
      <c r="Q40" t="s">
        <v>315</v>
      </c>
    </row>
    <row r="41" spans="1:17" ht="43.5" hidden="1" x14ac:dyDescent="0.35">
      <c r="B41" s="14" t="s">
        <v>558</v>
      </c>
      <c r="C41" s="66" t="s">
        <v>559</v>
      </c>
      <c r="D41" s="85"/>
      <c r="P41" s="78" t="s">
        <v>105</v>
      </c>
      <c r="Q41" t="s">
        <v>315</v>
      </c>
    </row>
    <row r="42" spans="1:17" ht="43.5" x14ac:dyDescent="0.35">
      <c r="B42" s="14" t="s">
        <v>560</v>
      </c>
      <c r="C42" s="66" t="s">
        <v>561</v>
      </c>
      <c r="D42" s="85"/>
      <c r="K42" t="s">
        <v>550</v>
      </c>
      <c r="M42" s="94" t="s">
        <v>551</v>
      </c>
      <c r="N42" s="94" t="s">
        <v>550</v>
      </c>
      <c r="P42" s="78" t="s">
        <v>315</v>
      </c>
      <c r="Q42" t="s">
        <v>315</v>
      </c>
    </row>
    <row r="43" spans="1:17" ht="15" thickBot="1" x14ac:dyDescent="0.4">
      <c r="A43" s="29"/>
      <c r="B43" s="73"/>
      <c r="C43" s="82" t="s">
        <v>304</v>
      </c>
      <c r="D43" s="83" t="s">
        <v>301</v>
      </c>
      <c r="E43" s="29">
        <f>IF(D43=FR3_SI!$L$1,FR3_SI!$K$1,(IF(D43=FR3_SI!$L$2,FR3_SI!$K$2,(IF(D43=FR3_SI!$L$3,FR3_SI!$K$3,(IF(D43=FR3_SI!$L$4,FR3_SI!$K$4,FR3_SI!$K$5)))))))</f>
        <v>3</v>
      </c>
      <c r="F43">
        <v>1</v>
      </c>
      <c r="G43">
        <v>2</v>
      </c>
      <c r="H43">
        <v>3</v>
      </c>
      <c r="I43">
        <v>4</v>
      </c>
      <c r="J43">
        <f>MIN(F43:I43)</f>
        <v>1</v>
      </c>
      <c r="P43" s="78" t="str">
        <f>IF(COUNTA(#REF!)=0,"No","Yes")</f>
        <v>Yes</v>
      </c>
      <c r="Q43" t="s">
        <v>315</v>
      </c>
    </row>
    <row r="44" spans="1:17" x14ac:dyDescent="0.35">
      <c r="A44" t="s">
        <v>325</v>
      </c>
      <c r="B44" s="74" t="s">
        <v>562</v>
      </c>
      <c r="C44" s="74" t="s">
        <v>563</v>
      </c>
      <c r="D44" s="13" t="s">
        <v>321</v>
      </c>
      <c r="P44" s="78" t="str">
        <f>IF(COUNTA(#REF!)=0,"No","Yes")</f>
        <v>Yes</v>
      </c>
      <c r="Q44" t="s">
        <v>315</v>
      </c>
    </row>
    <row r="45" spans="1:17" ht="78" customHeight="1" x14ac:dyDescent="0.35">
      <c r="B45" s="14" t="s">
        <v>564</v>
      </c>
      <c r="C45" s="66" t="s">
        <v>565</v>
      </c>
      <c r="D45" s="85" t="s">
        <v>549</v>
      </c>
      <c r="K45" t="s">
        <v>550</v>
      </c>
      <c r="M45" s="95"/>
      <c r="N45" s="95"/>
      <c r="P45" s="78" t="s">
        <v>315</v>
      </c>
      <c r="Q45" t="s">
        <v>315</v>
      </c>
    </row>
    <row r="46" spans="1:17" ht="78" hidden="1" customHeight="1" x14ac:dyDescent="0.35">
      <c r="B46" s="14" t="s">
        <v>566</v>
      </c>
      <c r="C46" s="66" t="s">
        <v>567</v>
      </c>
      <c r="D46" s="85"/>
      <c r="P46" s="78" t="s">
        <v>105</v>
      </c>
    </row>
    <row r="47" spans="1:17" ht="78" hidden="1" customHeight="1" x14ac:dyDescent="0.35">
      <c r="B47" s="14" t="s">
        <v>568</v>
      </c>
      <c r="C47" s="66" t="s">
        <v>569</v>
      </c>
      <c r="D47" s="85"/>
      <c r="P47" s="78" t="s">
        <v>105</v>
      </c>
    </row>
    <row r="48" spans="1:17" ht="78" hidden="1" customHeight="1" x14ac:dyDescent="0.35">
      <c r="B48" s="14" t="s">
        <v>570</v>
      </c>
      <c r="C48" s="66" t="s">
        <v>571</v>
      </c>
      <c r="D48" s="85"/>
      <c r="P48" s="78" t="s">
        <v>105</v>
      </c>
    </row>
    <row r="49" spans="1:17" ht="78" hidden="1" customHeight="1" x14ac:dyDescent="0.35">
      <c r="B49" s="14" t="s">
        <v>572</v>
      </c>
      <c r="C49" s="66" t="s">
        <v>573</v>
      </c>
      <c r="D49" s="85"/>
      <c r="P49" s="78" t="s">
        <v>105</v>
      </c>
    </row>
    <row r="50" spans="1:17" ht="78" customHeight="1" x14ac:dyDescent="0.35">
      <c r="B50" s="14" t="s">
        <v>574</v>
      </c>
      <c r="C50" s="66" t="s">
        <v>575</v>
      </c>
      <c r="D50" s="85"/>
      <c r="K50" t="s">
        <v>550</v>
      </c>
      <c r="M50" s="94"/>
      <c r="N50" s="95"/>
      <c r="P50" s="78" t="s">
        <v>315</v>
      </c>
      <c r="Q50" t="s">
        <v>315</v>
      </c>
    </row>
    <row r="51" spans="1:17" ht="15" thickBot="1" x14ac:dyDescent="0.4">
      <c r="A51" s="29"/>
      <c r="B51" s="73"/>
      <c r="C51" s="82" t="s">
        <v>304</v>
      </c>
      <c r="D51" s="83" t="s">
        <v>301</v>
      </c>
      <c r="E51" s="29">
        <f>IF(D51=FR3_SI!$L$1,FR3_SI!$K$1,(IF(D51=FR3_SI!$L$2,FR3_SI!$K$2,(IF(D51=FR3_SI!$L$3,FR3_SI!$K$3,(IF(D51=FR3_SI!$L$4,FR3_SI!$K$4,FR3_SI!$K$5)))))))</f>
        <v>3</v>
      </c>
      <c r="G51">
        <v>2</v>
      </c>
      <c r="H51">
        <v>3</v>
      </c>
      <c r="I51">
        <v>4</v>
      </c>
      <c r="J51">
        <f>MIN(F51:I51)</f>
        <v>2</v>
      </c>
      <c r="P51" s="78" t="str">
        <f>IF(COUNTA(#REF!)=0,"No","Yes")</f>
        <v>Yes</v>
      </c>
      <c r="Q51" t="s">
        <v>315</v>
      </c>
    </row>
    <row r="52" spans="1:17" hidden="1" x14ac:dyDescent="0.35">
      <c r="A52" t="s">
        <v>325</v>
      </c>
      <c r="B52" s="25" t="s">
        <v>576</v>
      </c>
      <c r="C52" s="25" t="s">
        <v>577</v>
      </c>
      <c r="D52" s="5" t="s">
        <v>321</v>
      </c>
      <c r="P52" s="78" t="str">
        <f>IF(COUNTA(K53:O53)=0,"No","Yes")</f>
        <v>No</v>
      </c>
    </row>
    <row r="53" spans="1:17" ht="58" hidden="1" x14ac:dyDescent="0.35">
      <c r="B53" s="2"/>
      <c r="C53" s="24" t="s">
        <v>578</v>
      </c>
      <c r="D53" s="19"/>
      <c r="P53" s="78" t="str">
        <f>IF(COUNTA(K53:O53)=0,"No","Yes")</f>
        <v>No</v>
      </c>
    </row>
    <row r="54" spans="1:17" ht="15" hidden="1" thickBot="1" x14ac:dyDescent="0.4">
      <c r="A54" s="29"/>
      <c r="B54" s="22"/>
      <c r="C54" s="26" t="s">
        <v>304</v>
      </c>
      <c r="D54" s="54"/>
      <c r="E54" s="29" t="str">
        <f>IF(D54=FR3_SI!$L$1,FR3_SI!$K$1,(IF(D54=FR3_SI!$L$2,FR3_SI!$K$2,(IF(D54=FR3_SI!$L$3,FR3_SI!$K$3,(IF(D54=FR3_SI!$L$4,FR3_SI!$K$4,FR3_SI!$K$5)))))))</f>
        <v/>
      </c>
      <c r="H54">
        <v>3</v>
      </c>
      <c r="I54">
        <v>4</v>
      </c>
      <c r="J54">
        <f>MIN(F54:I54)</f>
        <v>3</v>
      </c>
      <c r="P54" s="78" t="str">
        <f>IF(COUNTA(K53:O53)=0,"No","Yes")</f>
        <v>No</v>
      </c>
    </row>
    <row r="55" spans="1:17" x14ac:dyDescent="0.35">
      <c r="A55" t="s">
        <v>318</v>
      </c>
      <c r="B55" s="74" t="s">
        <v>579</v>
      </c>
      <c r="C55" s="74" t="s">
        <v>580</v>
      </c>
      <c r="D55" s="13" t="s">
        <v>321</v>
      </c>
      <c r="P55" s="78" t="str">
        <f>IF(COUNTA(K56:O56)=0,"No","Yes")</f>
        <v>Yes</v>
      </c>
      <c r="Q55" t="s">
        <v>315</v>
      </c>
    </row>
    <row r="56" spans="1:17" ht="58" x14ac:dyDescent="0.35">
      <c r="C56" s="66" t="s">
        <v>581</v>
      </c>
      <c r="D56" s="85" t="s">
        <v>582</v>
      </c>
      <c r="K56" t="s">
        <v>583</v>
      </c>
      <c r="M56" s="95"/>
      <c r="N56" s="95"/>
      <c r="P56" s="78" t="str">
        <f>IF(COUNTA(K56:O56)=0,"No","Yes")</f>
        <v>Yes</v>
      </c>
      <c r="Q56" s="12" t="s">
        <v>315</v>
      </c>
    </row>
    <row r="57" spans="1:17" ht="15" thickBot="1" x14ac:dyDescent="0.4">
      <c r="A57" s="29"/>
      <c r="B57" s="73"/>
      <c r="C57" s="82" t="s">
        <v>304</v>
      </c>
      <c r="D57" s="83" t="s">
        <v>301</v>
      </c>
      <c r="E57" s="29">
        <f>IF(D57=FR3_SI!$L$1,FR3_SI!$K$1,(IF(D57=FR3_SI!$L$2,FR3_SI!$K$2,(IF(D57=FR3_SI!$L$3,FR3_SI!$K$3,(IF(D57=FR3_SI!$L$4,FR3_SI!$K$4,FR3_SI!$K$5)))))))</f>
        <v>3</v>
      </c>
      <c r="F57">
        <v>1</v>
      </c>
      <c r="G57">
        <v>2</v>
      </c>
      <c r="H57">
        <v>3</v>
      </c>
      <c r="I57">
        <v>4</v>
      </c>
      <c r="J57">
        <f>MIN(F57:I57)</f>
        <v>1</v>
      </c>
      <c r="P57" s="78" t="str">
        <f>IF(COUNTA(K56:O56)=0,"No","Yes")</f>
        <v>Yes</v>
      </c>
      <c r="Q57" t="s">
        <v>315</v>
      </c>
    </row>
    <row r="58" spans="1:17" hidden="1" x14ac:dyDescent="0.35">
      <c r="A58" t="s">
        <v>318</v>
      </c>
      <c r="B58" s="25" t="s">
        <v>584</v>
      </c>
      <c r="C58" s="36" t="s">
        <v>585</v>
      </c>
      <c r="D58" s="5" t="s">
        <v>321</v>
      </c>
      <c r="P58" s="78" t="str">
        <f>IF(COUNTA(K59:O59)=0,"No","Yes")</f>
        <v>No</v>
      </c>
    </row>
    <row r="59" spans="1:17" ht="58" hidden="1" x14ac:dyDescent="0.35">
      <c r="B59" s="2"/>
      <c r="C59" s="36" t="s">
        <v>586</v>
      </c>
      <c r="D59" s="19"/>
      <c r="P59" s="78" t="str">
        <f>IF(COUNTA(K59:O59)=0,"No","Yes")</f>
        <v>No</v>
      </c>
    </row>
    <row r="60" spans="1:17" ht="15" hidden="1" thickBot="1" x14ac:dyDescent="0.4">
      <c r="A60" s="29"/>
      <c r="B60" s="22"/>
      <c r="C60" s="38" t="s">
        <v>304</v>
      </c>
      <c r="D60" s="54"/>
      <c r="E60" s="29" t="str">
        <f>IF(D60=FR3_SI!$L$1,FR3_SI!$K$1,(IF(D60=FR3_SI!$L$2,FR3_SI!$K$2,(IF(D60=FR3_SI!$L$3,FR3_SI!$K$3,(IF(D60=FR3_SI!$L$4,FR3_SI!$K$4,FR3_SI!$K$5)))))))</f>
        <v/>
      </c>
      <c r="F60">
        <v>1</v>
      </c>
      <c r="G60">
        <v>2</v>
      </c>
      <c r="H60">
        <v>3</v>
      </c>
      <c r="I60">
        <v>4</v>
      </c>
      <c r="J60">
        <f>MIN(F60:I60)</f>
        <v>1</v>
      </c>
      <c r="P60" s="78" t="str">
        <f>IF(COUNTA(K59:O59)=0,"No","Yes")</f>
        <v>No</v>
      </c>
    </row>
    <row r="61" spans="1:17" x14ac:dyDescent="0.35">
      <c r="A61" t="s">
        <v>318</v>
      </c>
      <c r="B61" s="74" t="s">
        <v>587</v>
      </c>
      <c r="C61" s="62" t="s">
        <v>588</v>
      </c>
      <c r="D61" s="13" t="s">
        <v>321</v>
      </c>
      <c r="P61" s="78" t="str">
        <f>IF(COUNTA(K62:O62)=0,"No","Yes")</f>
        <v>Yes</v>
      </c>
      <c r="Q61" t="s">
        <v>315</v>
      </c>
    </row>
    <row r="62" spans="1:17" ht="43.5" x14ac:dyDescent="0.35">
      <c r="C62" s="62" t="s">
        <v>589</v>
      </c>
      <c r="D62" s="85"/>
      <c r="K62" t="s">
        <v>583</v>
      </c>
      <c r="M62" s="94"/>
      <c r="N62" s="94"/>
      <c r="P62" s="78" t="str">
        <f>IF(COUNTA(K62:O62)=0,"No","Yes")</f>
        <v>Yes</v>
      </c>
      <c r="Q62" t="s">
        <v>315</v>
      </c>
    </row>
    <row r="63" spans="1:17" ht="15" thickBot="1" x14ac:dyDescent="0.4">
      <c r="A63" s="29"/>
      <c r="B63" s="73"/>
      <c r="C63" s="88" t="s">
        <v>304</v>
      </c>
      <c r="D63" s="83" t="s">
        <v>301</v>
      </c>
      <c r="E63" s="29">
        <f>IF(D63=FR3_SI!$L$1,FR3_SI!$K$1,(IF(D63=FR3_SI!$L$2,FR3_SI!$K$2,(IF(D63=FR3_SI!$L$3,FR3_SI!$K$3,(IF(D63=FR3_SI!$L$4,FR3_SI!$K$4,FR3_SI!$K$5)))))))</f>
        <v>3</v>
      </c>
      <c r="F63">
        <v>1</v>
      </c>
      <c r="G63">
        <v>2</v>
      </c>
      <c r="H63">
        <v>3</v>
      </c>
      <c r="I63">
        <v>4</v>
      </c>
      <c r="J63">
        <f>MIN(F63:I63)</f>
        <v>1</v>
      </c>
      <c r="P63" s="78" t="str">
        <f>IF(COUNTA(K62:O62)=0,"No","Yes")</f>
        <v>Yes</v>
      </c>
      <c r="Q63" t="s">
        <v>315</v>
      </c>
    </row>
    <row r="64" spans="1:17" x14ac:dyDescent="0.35">
      <c r="A64" t="s">
        <v>318</v>
      </c>
      <c r="B64" s="74" t="s">
        <v>590</v>
      </c>
      <c r="C64" s="62" t="s">
        <v>591</v>
      </c>
      <c r="D64" s="13" t="s">
        <v>321</v>
      </c>
      <c r="P64" s="78" t="str">
        <f>IF(COUNTA(K65:O65)=0,"No","Yes")</f>
        <v>Yes</v>
      </c>
      <c r="Q64" t="s">
        <v>315</v>
      </c>
    </row>
    <row r="65" spans="1:17" ht="72.5" x14ac:dyDescent="0.35">
      <c r="B65" s="14" t="s">
        <v>592</v>
      </c>
      <c r="C65" s="62" t="s">
        <v>593</v>
      </c>
      <c r="D65" s="85" t="s">
        <v>594</v>
      </c>
      <c r="K65" t="s">
        <v>583</v>
      </c>
      <c r="M65" s="95"/>
      <c r="N65" s="95"/>
      <c r="P65" s="78" t="str">
        <f>IF(COUNTA(K65:O65)=0,"No","Yes")</f>
        <v>Yes</v>
      </c>
      <c r="Q65" t="s">
        <v>315</v>
      </c>
    </row>
    <row r="66" spans="1:17" ht="72.5" x14ac:dyDescent="0.35">
      <c r="B66" s="14" t="s">
        <v>595</v>
      </c>
      <c r="C66" s="62" t="s">
        <v>596</v>
      </c>
      <c r="D66" s="85" t="s">
        <v>594</v>
      </c>
      <c r="M66" s="95"/>
      <c r="N66" s="95"/>
      <c r="P66" s="78" t="s">
        <v>315</v>
      </c>
      <c r="Q66" t="s">
        <v>315</v>
      </c>
    </row>
    <row r="67" spans="1:17" ht="58" x14ac:dyDescent="0.35">
      <c r="B67" s="14" t="s">
        <v>597</v>
      </c>
      <c r="C67" s="62" t="s">
        <v>598</v>
      </c>
      <c r="D67" s="85" t="s">
        <v>594</v>
      </c>
      <c r="M67" s="95"/>
      <c r="N67" s="95"/>
      <c r="P67" s="78" t="s">
        <v>315</v>
      </c>
      <c r="Q67" t="s">
        <v>315</v>
      </c>
    </row>
    <row r="68" spans="1:17" ht="15" thickBot="1" x14ac:dyDescent="0.4">
      <c r="A68" s="29"/>
      <c r="B68" s="73"/>
      <c r="C68" s="88" t="s">
        <v>304</v>
      </c>
      <c r="D68" s="83" t="s">
        <v>301</v>
      </c>
      <c r="E68" s="29">
        <f>IF(D68=FR3_SI!$L$1,FR3_SI!$K$1,(IF(D68=FR3_SI!$L$2,FR3_SI!$K$2,(IF(D68=FR3_SI!$L$3,FR3_SI!$K$3,(IF(D68=FR3_SI!$L$4,FR3_SI!$K$4,FR3_SI!$K$5)))))))</f>
        <v>3</v>
      </c>
      <c r="G68">
        <v>2</v>
      </c>
      <c r="H68">
        <v>3</v>
      </c>
      <c r="I68">
        <v>4</v>
      </c>
      <c r="J68">
        <f>MIN(F68:I68)</f>
        <v>2</v>
      </c>
      <c r="P68" s="78" t="str">
        <f>IF(COUNTA(K65:O65)=0,"No","Yes")</f>
        <v>Yes</v>
      </c>
      <c r="Q68" t="s">
        <v>315</v>
      </c>
    </row>
    <row r="69" spans="1:17" hidden="1" x14ac:dyDescent="0.35">
      <c r="A69" t="s">
        <v>318</v>
      </c>
      <c r="B69" s="25" t="s">
        <v>599</v>
      </c>
      <c r="C69" s="36" t="s">
        <v>600</v>
      </c>
      <c r="D69" s="5" t="s">
        <v>321</v>
      </c>
      <c r="P69" s="78" t="str">
        <f>IF(COUNTA(K70:O70)=0,"No","Yes")</f>
        <v>No</v>
      </c>
    </row>
    <row r="70" spans="1:17" ht="43.5" hidden="1" x14ac:dyDescent="0.35">
      <c r="B70" s="2"/>
      <c r="C70" s="36" t="s">
        <v>601</v>
      </c>
      <c r="D70" s="19"/>
      <c r="P70" s="78" t="str">
        <f>IF(COUNTA(K70:O70)=0,"No","Yes")</f>
        <v>No</v>
      </c>
    </row>
    <row r="71" spans="1:17" ht="15" hidden="1" thickBot="1" x14ac:dyDescent="0.4">
      <c r="A71" s="29"/>
      <c r="B71" s="22"/>
      <c r="C71" s="38" t="s">
        <v>304</v>
      </c>
      <c r="D71" s="54"/>
      <c r="E71" s="29" t="str">
        <f>IF(D71=FR3_SI!$L$1,FR3_SI!$K$1,(IF(D71=FR3_SI!$L$2,FR3_SI!$K$2,(IF(D71=FR3_SI!$L$3,FR3_SI!$K$3,(IF(D71=FR3_SI!$L$4,FR3_SI!$K$4,FR3_SI!$K$5)))))))</f>
        <v/>
      </c>
      <c r="G71">
        <v>2</v>
      </c>
      <c r="H71">
        <v>3</v>
      </c>
      <c r="I71">
        <v>4</v>
      </c>
      <c r="J71">
        <f>MIN(F71:I71)</f>
        <v>2</v>
      </c>
      <c r="P71" s="78" t="str">
        <f>IF(COUNTA(K70:O70)=0,"No","Yes")</f>
        <v>No</v>
      </c>
    </row>
    <row r="72" spans="1:17" hidden="1" x14ac:dyDescent="0.35">
      <c r="A72" t="s">
        <v>325</v>
      </c>
      <c r="B72" s="25" t="s">
        <v>602</v>
      </c>
      <c r="C72" s="36" t="s">
        <v>603</v>
      </c>
      <c r="D72" s="5" t="s">
        <v>321</v>
      </c>
      <c r="P72" s="78" t="str">
        <f>IF(COUNTA(K73:O73)=0,"No","Yes")</f>
        <v>No</v>
      </c>
    </row>
    <row r="73" spans="1:17" ht="29" hidden="1" x14ac:dyDescent="0.35">
      <c r="B73" s="2"/>
      <c r="C73" s="36" t="s">
        <v>604</v>
      </c>
      <c r="D73" s="19"/>
      <c r="P73" s="78" t="str">
        <f>IF(COUNTA(K73:O73)=0,"No","Yes")</f>
        <v>No</v>
      </c>
    </row>
    <row r="74" spans="1:17" ht="15" hidden="1" thickBot="1" x14ac:dyDescent="0.4">
      <c r="A74" s="29"/>
      <c r="B74" s="22"/>
      <c r="C74" s="38" t="s">
        <v>304</v>
      </c>
      <c r="D74" s="54"/>
      <c r="E74" s="29" t="str">
        <f>IF(D74=FR3_SI!$L$1,FR3_SI!$K$1,(IF(D74=FR3_SI!$L$2,FR3_SI!$K$2,(IF(D74=FR3_SI!$L$3,FR3_SI!$K$3,(IF(D74=FR3_SI!$L$4,FR3_SI!$K$4,FR3_SI!$K$5)))))))</f>
        <v/>
      </c>
      <c r="I74">
        <v>4</v>
      </c>
      <c r="J74">
        <f>MIN(F74:I74)</f>
        <v>4</v>
      </c>
      <c r="P74" s="78" t="str">
        <f>IF(COUNTA(K73:O73)=0,"No","Yes")</f>
        <v>No</v>
      </c>
    </row>
    <row r="75" spans="1:17" x14ac:dyDescent="0.35">
      <c r="A75" t="s">
        <v>454</v>
      </c>
      <c r="B75" s="74" t="s">
        <v>605</v>
      </c>
      <c r="C75" s="62" t="s">
        <v>606</v>
      </c>
      <c r="D75" s="13" t="s">
        <v>321</v>
      </c>
      <c r="P75" s="78" t="str">
        <f>IF(COUNTA(K76:O76)=0,"No","Yes")</f>
        <v>Yes</v>
      </c>
      <c r="Q75" t="s">
        <v>315</v>
      </c>
    </row>
    <row r="76" spans="1:17" ht="101.5" x14ac:dyDescent="0.35">
      <c r="C76" s="62" t="s">
        <v>607</v>
      </c>
      <c r="D76" s="85"/>
      <c r="K76" s="5" t="s">
        <v>608</v>
      </c>
      <c r="M76" s="95" t="s">
        <v>609</v>
      </c>
      <c r="N76" s="98" t="s">
        <v>610</v>
      </c>
      <c r="P76" s="78" t="str">
        <f>IF(COUNTA(K76:O76)=0,"No","Yes")</f>
        <v>Yes</v>
      </c>
      <c r="Q76" t="s">
        <v>315</v>
      </c>
    </row>
    <row r="77" spans="1:17" ht="15" thickBot="1" x14ac:dyDescent="0.4">
      <c r="A77" s="29"/>
      <c r="B77" s="73"/>
      <c r="C77" s="88" t="s">
        <v>304</v>
      </c>
      <c r="D77" s="83" t="s">
        <v>301</v>
      </c>
      <c r="E77" s="29">
        <f>IF(D77=FR3_SI!$L$1,FR3_SI!$K$1,(IF(D77=FR3_SI!$L$2,FR3_SI!$K$2,(IF(D77=FR3_SI!$L$3,FR3_SI!$K$3,(IF(D77=FR3_SI!$L$4,FR3_SI!$K$4,FR3_SI!$K$5)))))))</f>
        <v>3</v>
      </c>
      <c r="F77">
        <v>1</v>
      </c>
      <c r="G77">
        <v>2</v>
      </c>
      <c r="H77">
        <v>3</v>
      </c>
      <c r="I77">
        <v>4</v>
      </c>
      <c r="J77">
        <f>MIN(F77:I77)</f>
        <v>1</v>
      </c>
      <c r="P77" s="78" t="str">
        <f>IF(COUNTA(K76:O76)=0,"No","Yes")</f>
        <v>Yes</v>
      </c>
      <c r="Q77" t="s">
        <v>315</v>
      </c>
    </row>
    <row r="78" spans="1:17" x14ac:dyDescent="0.35">
      <c r="A78" t="s">
        <v>462</v>
      </c>
      <c r="B78" s="74" t="s">
        <v>611</v>
      </c>
      <c r="C78" s="62" t="s">
        <v>612</v>
      </c>
      <c r="D78" s="13" t="s">
        <v>321</v>
      </c>
      <c r="P78" s="78" t="s">
        <v>105</v>
      </c>
      <c r="Q78" t="s">
        <v>315</v>
      </c>
    </row>
    <row r="79" spans="1:17" ht="43.5" x14ac:dyDescent="0.35">
      <c r="C79" s="62" t="s">
        <v>613</v>
      </c>
      <c r="D79" s="85" t="s">
        <v>614</v>
      </c>
      <c r="K79" s="5" t="s">
        <v>608</v>
      </c>
      <c r="M79" s="95"/>
      <c r="N79" s="100" t="s">
        <v>615</v>
      </c>
      <c r="P79" s="78" t="s">
        <v>105</v>
      </c>
      <c r="Q79" t="s">
        <v>315</v>
      </c>
    </row>
    <row r="80" spans="1:17" ht="29.5" thickBot="1" x14ac:dyDescent="0.4">
      <c r="A80" s="29"/>
      <c r="B80" s="73"/>
      <c r="C80" s="88" t="s">
        <v>304</v>
      </c>
      <c r="D80" s="83" t="s">
        <v>303</v>
      </c>
      <c r="E80" s="29">
        <f>IF(D80=FR3_SI!$L$1,FR3_SI!$K$1,(IF(D80=FR3_SI!$L$2,FR3_SI!$K$2,(IF(D80=FR3_SI!$L$3,FR3_SI!$K$3,(IF(D80=FR3_SI!$L$4,FR3_SI!$K$4,FR3_SI!$K$5)))))))</f>
        <v>2</v>
      </c>
      <c r="G80">
        <v>2</v>
      </c>
      <c r="H80">
        <v>3</v>
      </c>
      <c r="I80">
        <v>4</v>
      </c>
      <c r="J80">
        <f>MIN(F80:I80)</f>
        <v>2</v>
      </c>
      <c r="P80" s="78" t="s">
        <v>105</v>
      </c>
      <c r="Q80" t="s">
        <v>315</v>
      </c>
    </row>
    <row r="81" spans="1:17" x14ac:dyDescent="0.35">
      <c r="A81" t="s">
        <v>464</v>
      </c>
      <c r="B81" s="74" t="s">
        <v>605</v>
      </c>
      <c r="C81" s="62" t="s">
        <v>606</v>
      </c>
      <c r="D81" s="13" t="s">
        <v>321</v>
      </c>
      <c r="P81" s="78" t="str">
        <f>IF(COUNTA(K82:O82)=0,"No","Yes")</f>
        <v>Yes</v>
      </c>
      <c r="Q81" t="s">
        <v>315</v>
      </c>
    </row>
    <row r="82" spans="1:17" ht="29" x14ac:dyDescent="0.35">
      <c r="C82" s="62" t="s">
        <v>616</v>
      </c>
      <c r="D82" s="85"/>
      <c r="M82" s="94"/>
      <c r="N82" s="101" t="s">
        <v>617</v>
      </c>
      <c r="P82" s="78" t="str">
        <f>IF(COUNTA(K82:O82)=0,"No","Yes")</f>
        <v>Yes</v>
      </c>
      <c r="Q82" t="s">
        <v>315</v>
      </c>
    </row>
    <row r="83" spans="1:17" ht="15" thickBot="1" x14ac:dyDescent="0.4">
      <c r="A83" s="29"/>
      <c r="B83" s="73"/>
      <c r="C83" s="88" t="s">
        <v>304</v>
      </c>
      <c r="D83" s="87"/>
      <c r="E83" s="29" t="str">
        <f>IF(D83=FR3_SI!$L$1,FR3_SI!$K$1,(IF(D83=FR3_SI!$L$2,FR3_SI!$K$2,(IF(D83=FR3_SI!$L$3,FR3_SI!$K$3,(IF(D83=FR3_SI!$L$4,FR3_SI!$K$4,FR3_SI!$K$5)))))))</f>
        <v/>
      </c>
      <c r="F83">
        <v>1</v>
      </c>
      <c r="G83">
        <v>2</v>
      </c>
      <c r="H83">
        <v>3</v>
      </c>
      <c r="I83">
        <v>4</v>
      </c>
      <c r="J83">
        <f>MIN(F83:I83)</f>
        <v>1</v>
      </c>
      <c r="P83" s="78" t="str">
        <f>IF(COUNTA(K82:O82)=0,"No","Yes")</f>
        <v>Yes</v>
      </c>
      <c r="Q83" t="s">
        <v>315</v>
      </c>
    </row>
    <row r="84" spans="1:17" x14ac:dyDescent="0.35">
      <c r="A84" t="s">
        <v>466</v>
      </c>
      <c r="B84" s="74" t="s">
        <v>611</v>
      </c>
      <c r="C84" s="62" t="s">
        <v>612</v>
      </c>
      <c r="D84" s="13" t="s">
        <v>321</v>
      </c>
      <c r="P84" s="78" t="s">
        <v>105</v>
      </c>
      <c r="Q84" t="s">
        <v>315</v>
      </c>
    </row>
    <row r="85" spans="1:17" ht="29" x14ac:dyDescent="0.35">
      <c r="C85" s="62" t="s">
        <v>618</v>
      </c>
      <c r="D85" s="85"/>
      <c r="M85" s="94"/>
      <c r="N85" s="101" t="s">
        <v>617</v>
      </c>
      <c r="P85" s="78" t="s">
        <v>105</v>
      </c>
      <c r="Q85" t="s">
        <v>315</v>
      </c>
    </row>
    <row r="86" spans="1:17" ht="15" thickBot="1" x14ac:dyDescent="0.4">
      <c r="A86" s="29"/>
      <c r="B86" s="73"/>
      <c r="C86" s="88" t="s">
        <v>304</v>
      </c>
      <c r="D86" s="87"/>
      <c r="E86" s="29" t="str">
        <f>IF(D86=FR3_SI!$L$1,FR3_SI!$K$1,(IF(D86=FR3_SI!$L$2,FR3_SI!$K$2,(IF(D86=FR3_SI!$L$3,FR3_SI!$K$3,(IF(D86=FR3_SI!$L$4,FR3_SI!$K$4,FR3_SI!$K$5)))))))</f>
        <v/>
      </c>
      <c r="H86">
        <v>3</v>
      </c>
      <c r="I86">
        <v>4</v>
      </c>
      <c r="J86">
        <f>MIN(F86:I86)</f>
        <v>3</v>
      </c>
      <c r="P86" s="78" t="s">
        <v>105</v>
      </c>
      <c r="Q86" t="s">
        <v>315</v>
      </c>
    </row>
    <row r="87" spans="1:17" x14ac:dyDescent="0.35">
      <c r="A87" t="s">
        <v>373</v>
      </c>
      <c r="B87" s="74" t="s">
        <v>605</v>
      </c>
      <c r="C87" s="62" t="s">
        <v>606</v>
      </c>
      <c r="D87" s="13" t="s">
        <v>321</v>
      </c>
      <c r="P87" s="78" t="str">
        <f>IF(COUNTA(K88:O88)=0,"No","Yes")</f>
        <v>Yes</v>
      </c>
      <c r="Q87" t="s">
        <v>315</v>
      </c>
    </row>
    <row r="88" spans="1:17" ht="29" x14ac:dyDescent="0.35">
      <c r="C88" s="62" t="s">
        <v>619</v>
      </c>
      <c r="D88" s="85"/>
      <c r="M88" s="94" t="s">
        <v>205</v>
      </c>
      <c r="N88" s="101" t="s">
        <v>617</v>
      </c>
      <c r="O88" s="12" t="s">
        <v>617</v>
      </c>
      <c r="P88" s="78" t="str">
        <f>IF(COUNTA(K88:O88)=0,"No","Yes")</f>
        <v>Yes</v>
      </c>
      <c r="Q88" t="s">
        <v>315</v>
      </c>
    </row>
    <row r="89" spans="1:17" ht="15" thickBot="1" x14ac:dyDescent="0.4">
      <c r="A89" s="29"/>
      <c r="B89" s="73"/>
      <c r="C89" s="88" t="s">
        <v>304</v>
      </c>
      <c r="D89" s="87"/>
      <c r="E89" s="29" t="str">
        <f>IF(D89=FR3_SI!$L$1,FR3_SI!$K$1,(IF(D89=FR3_SI!$L$2,FR3_SI!$K$2,(IF(D89=FR3_SI!$L$3,FR3_SI!$K$3,(IF(D89=FR3_SI!$L$4,FR3_SI!$K$4,FR3_SI!$K$5)))))))</f>
        <v/>
      </c>
      <c r="F89">
        <v>1</v>
      </c>
      <c r="G89">
        <v>2</v>
      </c>
      <c r="H89">
        <v>3</v>
      </c>
      <c r="I89">
        <v>4</v>
      </c>
      <c r="J89">
        <f>MIN(F89:I89)</f>
        <v>1</v>
      </c>
      <c r="P89" s="78" t="str">
        <f>IF(COUNTA(K88:O88)=0,"No","Yes")</f>
        <v>Yes</v>
      </c>
      <c r="Q89" t="s">
        <v>315</v>
      </c>
    </row>
    <row r="90" spans="1:17" x14ac:dyDescent="0.35">
      <c r="A90" t="s">
        <v>378</v>
      </c>
      <c r="B90" s="74" t="s">
        <v>611</v>
      </c>
      <c r="C90" s="62" t="s">
        <v>612</v>
      </c>
      <c r="D90" s="13" t="s">
        <v>321</v>
      </c>
      <c r="P90" s="78" t="s">
        <v>105</v>
      </c>
      <c r="Q90" t="s">
        <v>315</v>
      </c>
    </row>
    <row r="91" spans="1:17" ht="29" x14ac:dyDescent="0.35">
      <c r="C91" s="62" t="s">
        <v>620</v>
      </c>
      <c r="D91" s="85"/>
      <c r="M91" s="94"/>
      <c r="N91" s="102" t="s">
        <v>615</v>
      </c>
      <c r="O91" s="13" t="s">
        <v>615</v>
      </c>
      <c r="P91" s="78" t="s">
        <v>105</v>
      </c>
      <c r="Q91" t="s">
        <v>315</v>
      </c>
    </row>
    <row r="92" spans="1:17" ht="15" thickBot="1" x14ac:dyDescent="0.4">
      <c r="A92" s="29"/>
      <c r="B92" s="73"/>
      <c r="C92" s="88" t="s">
        <v>304</v>
      </c>
      <c r="D92" s="87"/>
      <c r="E92" s="29" t="str">
        <f>IF(D92=FR3_SI!$L$1,FR3_SI!$K$1,(IF(D92=FR3_SI!$L$2,FR3_SI!$K$2,(IF(D92=FR3_SI!$L$3,FR3_SI!$K$3,(IF(D92=FR3_SI!$L$4,FR3_SI!$K$4,FR3_SI!$K$5)))))))</f>
        <v/>
      </c>
      <c r="G92">
        <v>2</v>
      </c>
      <c r="H92">
        <v>3</v>
      </c>
      <c r="I92">
        <v>4</v>
      </c>
      <c r="J92">
        <f>MIN(F92:I92)</f>
        <v>2</v>
      </c>
      <c r="P92" s="78" t="s">
        <v>105</v>
      </c>
      <c r="Q92" s="12" t="s">
        <v>315</v>
      </c>
    </row>
    <row r="93" spans="1:17" hidden="1" x14ac:dyDescent="0.35">
      <c r="A93" t="s">
        <v>454</v>
      </c>
      <c r="B93" s="25" t="s">
        <v>621</v>
      </c>
      <c r="C93" s="36" t="s">
        <v>622</v>
      </c>
      <c r="D93" s="5" t="s">
        <v>321</v>
      </c>
      <c r="P93" s="78" t="str">
        <f>IF(COUNTA(K94:O94)=0,"No","Yes")</f>
        <v>No</v>
      </c>
    </row>
    <row r="94" spans="1:17" ht="43.5" hidden="1" x14ac:dyDescent="0.35">
      <c r="B94" s="2"/>
      <c r="C94" s="36" t="s">
        <v>623</v>
      </c>
      <c r="D94" s="19"/>
      <c r="P94" s="78" t="str">
        <f>IF(COUNTA(K94:O94)=0,"No","Yes")</f>
        <v>No</v>
      </c>
    </row>
    <row r="95" spans="1:17" ht="15" hidden="1" thickBot="1" x14ac:dyDescent="0.4">
      <c r="A95" s="29"/>
      <c r="B95" s="22"/>
      <c r="C95" s="38" t="s">
        <v>304</v>
      </c>
      <c r="D95" s="57"/>
      <c r="E95" s="29" t="str">
        <f>IF(D95=FR3_SI!$L$1,FR3_SI!$K$1,(IF(D95=FR3_SI!$L$2,FR3_SI!$K$2,(IF(D95=FR3_SI!$L$3,FR3_SI!$K$3,(IF(D95=FR3_SI!$L$4,FR3_SI!$K$4,FR3_SI!$K$5)))))))</f>
        <v/>
      </c>
      <c r="G95">
        <v>2</v>
      </c>
      <c r="H95">
        <v>3</v>
      </c>
      <c r="I95">
        <v>4</v>
      </c>
      <c r="J95">
        <f>MIN(F95:I95)</f>
        <v>2</v>
      </c>
      <c r="P95" s="78" t="str">
        <f>IF(COUNTA(K94:O94)=0,"No","Yes")</f>
        <v>No</v>
      </c>
    </row>
    <row r="96" spans="1:17" hidden="1" x14ac:dyDescent="0.35">
      <c r="A96" t="s">
        <v>462</v>
      </c>
      <c r="B96" s="25" t="s">
        <v>624</v>
      </c>
      <c r="C96" s="36" t="s">
        <v>625</v>
      </c>
      <c r="D96" s="5" t="s">
        <v>321</v>
      </c>
      <c r="P96" s="78" t="str">
        <f>IF(COUNTA(K97:O97)=0,"No","Yes")</f>
        <v>No</v>
      </c>
    </row>
    <row r="97" spans="1:17" ht="72.5" hidden="1" x14ac:dyDescent="0.35">
      <c r="B97" s="2"/>
      <c r="C97" s="36" t="s">
        <v>626</v>
      </c>
      <c r="D97" s="19"/>
      <c r="P97" s="78" t="str">
        <f>IF(COUNTA(K97:O97)=0,"No","Yes")</f>
        <v>No</v>
      </c>
    </row>
    <row r="98" spans="1:17" ht="15" hidden="1" thickBot="1" x14ac:dyDescent="0.4">
      <c r="A98" s="29"/>
      <c r="B98" s="22"/>
      <c r="C98" s="38" t="s">
        <v>304</v>
      </c>
      <c r="D98" s="57"/>
      <c r="E98" s="29" t="str">
        <f>IF(D98=FR3_SI!$L$1,FR3_SI!$K$1,(IF(D98=FR3_SI!$L$2,FR3_SI!$K$2,(IF(D98=FR3_SI!$L$3,FR3_SI!$K$3,(IF(D98=FR3_SI!$L$4,FR3_SI!$K$4,FR3_SI!$K$5)))))))</f>
        <v/>
      </c>
      <c r="H98">
        <v>3</v>
      </c>
      <c r="I98">
        <v>4</v>
      </c>
      <c r="J98">
        <f>MIN(F98:I98)</f>
        <v>3</v>
      </c>
      <c r="P98" s="78" t="str">
        <f>IF(COUNTA(K97:O97)=0,"No","Yes")</f>
        <v>No</v>
      </c>
    </row>
    <row r="99" spans="1:17" hidden="1" x14ac:dyDescent="0.35">
      <c r="A99" t="s">
        <v>464</v>
      </c>
      <c r="B99" s="25" t="s">
        <v>621</v>
      </c>
      <c r="C99" s="36" t="s">
        <v>622</v>
      </c>
      <c r="D99" s="5" t="s">
        <v>321</v>
      </c>
      <c r="P99" s="78" t="str">
        <f>IF(COUNTA(K100:O100)=0,"No","Yes")</f>
        <v>No</v>
      </c>
    </row>
    <row r="100" spans="1:17" ht="43.5" hidden="1" x14ac:dyDescent="0.35">
      <c r="B100" s="2"/>
      <c r="C100" s="36" t="s">
        <v>627</v>
      </c>
      <c r="D100" s="19"/>
      <c r="P100" s="78" t="str">
        <f>IF(COUNTA(K100:O100)=0,"No","Yes")</f>
        <v>No</v>
      </c>
    </row>
    <row r="101" spans="1:17" ht="15" hidden="1" thickBot="1" x14ac:dyDescent="0.4">
      <c r="A101" s="29"/>
      <c r="B101" s="22"/>
      <c r="C101" s="38" t="s">
        <v>304</v>
      </c>
      <c r="D101" s="57"/>
      <c r="E101" s="29" t="str">
        <f>IF(D101=FR3_SI!$L$1,FR3_SI!$K$1,(IF(D101=FR3_SI!$L$2,FR3_SI!$K$2,(IF(D101=FR3_SI!$L$3,FR3_SI!$K$3,(IF(D101=FR3_SI!$L$4,FR3_SI!$K$4,FR3_SI!$K$5)))))))</f>
        <v/>
      </c>
      <c r="G101">
        <v>2</v>
      </c>
      <c r="H101">
        <v>3</v>
      </c>
      <c r="I101">
        <v>4</v>
      </c>
      <c r="J101">
        <f>MIN(F101:I101)</f>
        <v>2</v>
      </c>
      <c r="P101" s="78" t="str">
        <f>IF(COUNTA(K100:O100)=0,"No","Yes")</f>
        <v>No</v>
      </c>
    </row>
    <row r="102" spans="1:17" hidden="1" x14ac:dyDescent="0.35">
      <c r="A102" t="s">
        <v>466</v>
      </c>
      <c r="B102" s="25" t="s">
        <v>624</v>
      </c>
      <c r="C102" s="36" t="s">
        <v>625</v>
      </c>
      <c r="D102" s="5" t="s">
        <v>321</v>
      </c>
      <c r="P102" s="78" t="str">
        <f>IF(COUNTA(K103:O103)=0,"No","Yes")</f>
        <v>No</v>
      </c>
    </row>
    <row r="103" spans="1:17" ht="72.5" hidden="1" x14ac:dyDescent="0.35">
      <c r="B103" s="2"/>
      <c r="C103" s="36" t="s">
        <v>628</v>
      </c>
      <c r="D103" s="19"/>
      <c r="P103" s="78" t="str">
        <f>IF(COUNTA(K103:O103)=0,"No","Yes")</f>
        <v>No</v>
      </c>
    </row>
    <row r="104" spans="1:17" ht="15" hidden="1" thickBot="1" x14ac:dyDescent="0.4">
      <c r="A104" s="29"/>
      <c r="B104" s="22"/>
      <c r="C104" s="38" t="s">
        <v>304</v>
      </c>
      <c r="D104" s="57"/>
      <c r="E104" s="29" t="str">
        <f>IF(D104=FR3_SI!$L$1,FR3_SI!$K$1,(IF(D104=FR3_SI!$L$2,FR3_SI!$K$2,(IF(D104=FR3_SI!$L$3,FR3_SI!$K$3,(IF(D104=FR3_SI!$L$4,FR3_SI!$K$4,FR3_SI!$K$5)))))))</f>
        <v/>
      </c>
      <c r="H104">
        <v>3</v>
      </c>
      <c r="I104">
        <v>4</v>
      </c>
      <c r="J104">
        <f>MIN(F104:I104)</f>
        <v>3</v>
      </c>
      <c r="P104" s="78" t="str">
        <f>IF(COUNTA(K103:O103)=0,"No","Yes")</f>
        <v>No</v>
      </c>
    </row>
    <row r="105" spans="1:17" hidden="1" x14ac:dyDescent="0.35">
      <c r="A105" t="s">
        <v>373</v>
      </c>
      <c r="B105" s="25" t="s">
        <v>621</v>
      </c>
      <c r="C105" s="36" t="s">
        <v>622</v>
      </c>
      <c r="D105" s="5" t="s">
        <v>321</v>
      </c>
      <c r="P105" s="78" t="str">
        <f>IF(COUNTA(K106:O106)=0,"No","Yes")</f>
        <v>No</v>
      </c>
    </row>
    <row r="106" spans="1:17" ht="43.5" hidden="1" x14ac:dyDescent="0.35">
      <c r="B106" s="2"/>
      <c r="C106" s="36" t="s">
        <v>629</v>
      </c>
      <c r="D106" s="19"/>
      <c r="P106" s="78" t="str">
        <f>IF(COUNTA(K106:O106)=0,"No","Yes")</f>
        <v>No</v>
      </c>
    </row>
    <row r="107" spans="1:17" ht="15" hidden="1" thickBot="1" x14ac:dyDescent="0.4">
      <c r="A107" s="29"/>
      <c r="B107" s="22"/>
      <c r="C107" s="38" t="s">
        <v>304</v>
      </c>
      <c r="D107" s="57"/>
      <c r="E107" s="29" t="str">
        <f>IF(D107=FR3_SI!$L$1,FR3_SI!$K$1,(IF(D107=FR3_SI!$L$2,FR3_SI!$K$2,(IF(D107=FR3_SI!$L$3,FR3_SI!$K$3,(IF(D107=FR3_SI!$L$4,FR3_SI!$K$4,FR3_SI!$K$5)))))))</f>
        <v/>
      </c>
      <c r="G107">
        <v>2</v>
      </c>
      <c r="H107">
        <v>3</v>
      </c>
      <c r="I107">
        <v>4</v>
      </c>
      <c r="J107">
        <f>MIN(F107:I107)</f>
        <v>2</v>
      </c>
      <c r="P107" s="78" t="str">
        <f>IF(COUNTA(K106:O106)=0,"No","Yes")</f>
        <v>No</v>
      </c>
    </row>
    <row r="108" spans="1:17" hidden="1" x14ac:dyDescent="0.35">
      <c r="A108" t="s">
        <v>378</v>
      </c>
      <c r="B108" s="25" t="s">
        <v>624</v>
      </c>
      <c r="C108" s="36" t="s">
        <v>625</v>
      </c>
      <c r="D108" s="5" t="s">
        <v>321</v>
      </c>
      <c r="P108" s="78" t="str">
        <f>IF(COUNTA(K109:O109)=0,"No","Yes")</f>
        <v>No</v>
      </c>
    </row>
    <row r="109" spans="1:17" ht="72.5" hidden="1" x14ac:dyDescent="0.35">
      <c r="B109" s="2"/>
      <c r="C109" s="36" t="s">
        <v>630</v>
      </c>
      <c r="D109" s="19"/>
      <c r="P109" s="78" t="str">
        <f>IF(COUNTA(K109:O109)=0,"No","Yes")</f>
        <v>No</v>
      </c>
    </row>
    <row r="110" spans="1:17" ht="15" hidden="1" thickBot="1" x14ac:dyDescent="0.4">
      <c r="A110" s="29"/>
      <c r="B110" s="22"/>
      <c r="C110" s="38" t="s">
        <v>304</v>
      </c>
      <c r="D110" s="57"/>
      <c r="E110" s="29" t="str">
        <f>IF(D110=FR3_SI!$L$1,FR3_SI!$K$1,(IF(D110=FR3_SI!$L$2,FR3_SI!$K$2,(IF(D110=FR3_SI!$L$3,FR3_SI!$K$3,(IF(D110=FR3_SI!$L$4,FR3_SI!$K$4,FR3_SI!$K$5)))))))</f>
        <v/>
      </c>
      <c r="H110">
        <v>3</v>
      </c>
      <c r="I110">
        <v>4</v>
      </c>
      <c r="J110">
        <f>MIN(F110:I110)</f>
        <v>3</v>
      </c>
      <c r="P110" s="78" t="str">
        <f>IF(COUNTA(K109:O109)=0,"No","Yes")</f>
        <v>No</v>
      </c>
    </row>
    <row r="111" spans="1:17" x14ac:dyDescent="0.35">
      <c r="A111" t="s">
        <v>454</v>
      </c>
      <c r="B111" s="74" t="s">
        <v>631</v>
      </c>
      <c r="C111" s="62" t="s">
        <v>632</v>
      </c>
      <c r="D111" s="13" t="s">
        <v>321</v>
      </c>
      <c r="P111" s="78" t="s">
        <v>105</v>
      </c>
      <c r="Q111" s="12" t="s">
        <v>315</v>
      </c>
    </row>
    <row r="112" spans="1:17" ht="58" x14ac:dyDescent="0.35">
      <c r="C112" s="62" t="s">
        <v>633</v>
      </c>
      <c r="D112" s="85" t="s">
        <v>634</v>
      </c>
      <c r="K112" s="5" t="s">
        <v>635</v>
      </c>
      <c r="M112" s="94"/>
      <c r="N112" s="94"/>
      <c r="P112" s="78" t="s">
        <v>105</v>
      </c>
      <c r="Q112" s="12" t="s">
        <v>315</v>
      </c>
    </row>
    <row r="113" spans="1:17" ht="29.5" thickBot="1" x14ac:dyDescent="0.4">
      <c r="A113" s="29"/>
      <c r="B113" s="73"/>
      <c r="C113" s="88" t="s">
        <v>304</v>
      </c>
      <c r="D113" s="87" t="s">
        <v>303</v>
      </c>
      <c r="E113" s="29">
        <f>IF(D113=FR3_SI!$L$1,FR3_SI!$K$1,(IF(D113=FR3_SI!$L$2,FR3_SI!$K$2,(IF(D113=FR3_SI!$L$3,FR3_SI!$K$3,(IF(D113=FR3_SI!$L$4,FR3_SI!$K$4,FR3_SI!$K$5)))))))</f>
        <v>2</v>
      </c>
      <c r="G113">
        <v>2</v>
      </c>
      <c r="H113">
        <v>3</v>
      </c>
      <c r="I113">
        <v>4</v>
      </c>
      <c r="J113">
        <f>MIN(F113:I113)</f>
        <v>2</v>
      </c>
      <c r="P113" s="78" t="s">
        <v>105</v>
      </c>
      <c r="Q113" s="12" t="s">
        <v>315</v>
      </c>
    </row>
    <row r="114" spans="1:17" x14ac:dyDescent="0.35">
      <c r="A114" t="s">
        <v>464</v>
      </c>
      <c r="B114" s="74" t="s">
        <v>631</v>
      </c>
      <c r="C114" s="62" t="s">
        <v>632</v>
      </c>
      <c r="D114" s="13" t="s">
        <v>321</v>
      </c>
      <c r="P114" s="78" t="s">
        <v>105</v>
      </c>
      <c r="Q114" s="12" t="s">
        <v>315</v>
      </c>
    </row>
    <row r="115" spans="1:17" ht="58" x14ac:dyDescent="0.35">
      <c r="C115" s="62" t="s">
        <v>636</v>
      </c>
      <c r="D115" s="85" t="s">
        <v>637</v>
      </c>
      <c r="K115" t="s">
        <v>635</v>
      </c>
      <c r="M115" s="96" t="s">
        <v>638</v>
      </c>
      <c r="N115" s="94"/>
      <c r="P115" s="78" t="s">
        <v>105</v>
      </c>
      <c r="Q115" s="12" t="s">
        <v>315</v>
      </c>
    </row>
    <row r="116" spans="1:17" ht="15" thickBot="1" x14ac:dyDescent="0.4">
      <c r="A116" s="29"/>
      <c r="B116" s="73"/>
      <c r="C116" s="88" t="s">
        <v>304</v>
      </c>
      <c r="D116" s="87"/>
      <c r="E116" s="29" t="str">
        <f>IF(D116=FR3_SI!$L$1,FR3_SI!$K$1,(IF(D116=FR3_SI!$L$2,FR3_SI!$K$2,(IF(D116=FR3_SI!$L$3,FR3_SI!$K$3,(IF(D116=FR3_SI!$L$4,FR3_SI!$K$4,FR3_SI!$K$5)))))))</f>
        <v/>
      </c>
      <c r="G116">
        <v>2</v>
      </c>
      <c r="H116">
        <v>3</v>
      </c>
      <c r="I116">
        <v>4</v>
      </c>
      <c r="J116">
        <f>MIN(F116:I116)</f>
        <v>2</v>
      </c>
      <c r="P116" s="78" t="s">
        <v>105</v>
      </c>
      <c r="Q116" s="12" t="s">
        <v>315</v>
      </c>
    </row>
    <row r="117" spans="1:17" hidden="1" x14ac:dyDescent="0.35">
      <c r="A117" t="s">
        <v>373</v>
      </c>
      <c r="B117" s="25" t="s">
        <v>631</v>
      </c>
      <c r="C117" s="36" t="s">
        <v>632</v>
      </c>
      <c r="D117" s="5" t="s">
        <v>321</v>
      </c>
      <c r="P117" s="78" t="str">
        <f>IF(COUNTA(K118:O118)=0,"No","Yes")</f>
        <v>No</v>
      </c>
    </row>
    <row r="118" spans="1:17" ht="58" hidden="1" x14ac:dyDescent="0.35">
      <c r="B118" s="2"/>
      <c r="C118" s="36" t="s">
        <v>639</v>
      </c>
      <c r="D118" s="19"/>
      <c r="P118" s="78" t="str">
        <f>IF(COUNTA(K118:O118)=0,"No","Yes")</f>
        <v>No</v>
      </c>
    </row>
    <row r="119" spans="1:17" ht="15" hidden="1" thickBot="1" x14ac:dyDescent="0.4">
      <c r="A119" s="29"/>
      <c r="B119" s="22"/>
      <c r="C119" s="38" t="s">
        <v>304</v>
      </c>
      <c r="D119" s="57"/>
      <c r="E119" s="29" t="str">
        <f>IF(D119=FR3_SI!$L$1,FR3_SI!$K$1,(IF(D119=FR3_SI!$L$2,FR3_SI!$K$2,(IF(D119=FR3_SI!$L$3,FR3_SI!$K$3,(IF(D119=FR3_SI!$L$4,FR3_SI!$K$4,FR3_SI!$K$5)))))))</f>
        <v/>
      </c>
      <c r="G119">
        <v>2</v>
      </c>
      <c r="H119">
        <v>3</v>
      </c>
      <c r="I119">
        <v>4</v>
      </c>
      <c r="J119">
        <f>MIN(F119:I119)</f>
        <v>2</v>
      </c>
      <c r="P119" s="78" t="str">
        <f>IF(COUNTA(K118:O118)=0,"No","Yes")</f>
        <v>No</v>
      </c>
    </row>
    <row r="120" spans="1:17" x14ac:dyDescent="0.35">
      <c r="A120" t="s">
        <v>454</v>
      </c>
      <c r="B120" s="74" t="s">
        <v>640</v>
      </c>
      <c r="C120" s="62" t="s">
        <v>641</v>
      </c>
      <c r="D120" s="13" t="s">
        <v>321</v>
      </c>
      <c r="P120" s="78" t="s">
        <v>105</v>
      </c>
      <c r="Q120" s="12" t="s">
        <v>315</v>
      </c>
    </row>
    <row r="121" spans="1:17" ht="58" x14ac:dyDescent="0.35">
      <c r="B121" s="14" t="s">
        <v>642</v>
      </c>
      <c r="C121" s="62" t="s">
        <v>643</v>
      </c>
      <c r="D121" s="85"/>
      <c r="K121" s="5" t="s">
        <v>644</v>
      </c>
      <c r="M121" s="97"/>
      <c r="P121" s="78" t="s">
        <v>105</v>
      </c>
      <c r="Q121" s="12" t="s">
        <v>315</v>
      </c>
    </row>
    <row r="122" spans="1:17" ht="58" x14ac:dyDescent="0.35">
      <c r="B122" s="14" t="s">
        <v>645</v>
      </c>
      <c r="C122" s="62" t="s">
        <v>646</v>
      </c>
      <c r="D122" s="85"/>
      <c r="K122" s="5" t="s">
        <v>635</v>
      </c>
      <c r="M122" s="97"/>
      <c r="P122" s="78" t="s">
        <v>105</v>
      </c>
      <c r="Q122" s="12" t="s">
        <v>315</v>
      </c>
    </row>
    <row r="123" spans="1:17" ht="29.5" thickBot="1" x14ac:dyDescent="0.4">
      <c r="A123" s="29"/>
      <c r="B123" s="73"/>
      <c r="C123" s="88" t="s">
        <v>304</v>
      </c>
      <c r="D123" s="87" t="s">
        <v>303</v>
      </c>
      <c r="E123" s="29">
        <f>IF(D123=FR3_SI!$L$1,FR3_SI!$K$1,(IF(D123=FR3_SI!$L$2,FR3_SI!$K$2,(IF(D123=FR3_SI!$L$3,FR3_SI!$K$3,(IF(D123=FR3_SI!$L$4,FR3_SI!$K$4,FR3_SI!$K$5)))))))</f>
        <v>2</v>
      </c>
      <c r="G123">
        <v>2</v>
      </c>
      <c r="H123">
        <v>3</v>
      </c>
      <c r="I123">
        <v>4</v>
      </c>
      <c r="J123">
        <f>MIN(F123:I123)</f>
        <v>2</v>
      </c>
      <c r="P123" s="78" t="s">
        <v>105</v>
      </c>
      <c r="Q123" s="12" t="s">
        <v>315</v>
      </c>
    </row>
    <row r="124" spans="1:17" x14ac:dyDescent="0.35">
      <c r="A124" t="s">
        <v>464</v>
      </c>
      <c r="B124" s="74" t="s">
        <v>640</v>
      </c>
      <c r="C124" s="62" t="s">
        <v>641</v>
      </c>
      <c r="D124" s="13" t="s">
        <v>321</v>
      </c>
      <c r="P124" s="78" t="s">
        <v>105</v>
      </c>
      <c r="Q124" s="12" t="s">
        <v>315</v>
      </c>
    </row>
    <row r="125" spans="1:17" ht="58" x14ac:dyDescent="0.35">
      <c r="B125" s="14" t="s">
        <v>642</v>
      </c>
      <c r="C125" s="62" t="s">
        <v>647</v>
      </c>
      <c r="D125" s="85"/>
      <c r="K125" s="5"/>
      <c r="M125" s="97"/>
      <c r="P125" s="78" t="s">
        <v>105</v>
      </c>
      <c r="Q125" s="12" t="s">
        <v>315</v>
      </c>
    </row>
    <row r="126" spans="1:17" ht="58" x14ac:dyDescent="0.35">
      <c r="B126" s="14" t="s">
        <v>645</v>
      </c>
      <c r="C126" s="62" t="s">
        <v>648</v>
      </c>
      <c r="D126" s="85"/>
      <c r="K126" s="5"/>
      <c r="M126" s="97"/>
      <c r="P126" s="78" t="s">
        <v>105</v>
      </c>
      <c r="Q126" s="12" t="s">
        <v>315</v>
      </c>
    </row>
    <row r="127" spans="1:17" ht="15" thickBot="1" x14ac:dyDescent="0.4">
      <c r="A127" s="29"/>
      <c r="B127" s="73"/>
      <c r="C127" s="88" t="s">
        <v>304</v>
      </c>
      <c r="D127" s="87" t="s">
        <v>301</v>
      </c>
      <c r="E127" s="29">
        <f>IF(D127=FR3_SI!$L$1,FR3_SI!$K$1,(IF(D127=FR3_SI!$L$2,FR3_SI!$K$2,(IF(D127=FR3_SI!$L$3,FR3_SI!$K$3,(IF(D127=FR3_SI!$L$4,FR3_SI!$K$4,FR3_SI!$K$5)))))))</f>
        <v>3</v>
      </c>
      <c r="G127">
        <v>2</v>
      </c>
      <c r="H127">
        <v>3</v>
      </c>
      <c r="I127">
        <v>4</v>
      </c>
      <c r="J127">
        <f>MIN(F127:I127)</f>
        <v>2</v>
      </c>
      <c r="P127" s="78" t="s">
        <v>105</v>
      </c>
      <c r="Q127" s="12" t="s">
        <v>315</v>
      </c>
    </row>
    <row r="128" spans="1:17" x14ac:dyDescent="0.35">
      <c r="A128" t="s">
        <v>373</v>
      </c>
      <c r="B128" s="74" t="s">
        <v>640</v>
      </c>
      <c r="C128" s="62" t="s">
        <v>641</v>
      </c>
      <c r="D128" s="13" t="s">
        <v>321</v>
      </c>
      <c r="P128" s="78" t="s">
        <v>105</v>
      </c>
      <c r="Q128" s="12" t="s">
        <v>315</v>
      </c>
    </row>
    <row r="129" spans="1:17" ht="58" x14ac:dyDescent="0.35">
      <c r="B129" s="14" t="s">
        <v>642</v>
      </c>
      <c r="C129" s="62" t="s">
        <v>649</v>
      </c>
      <c r="D129" s="85"/>
      <c r="M129" s="97"/>
      <c r="P129" s="78" t="s">
        <v>105</v>
      </c>
      <c r="Q129" s="12" t="s">
        <v>315</v>
      </c>
    </row>
    <row r="130" spans="1:17" ht="58" x14ac:dyDescent="0.35">
      <c r="B130" s="14" t="s">
        <v>645</v>
      </c>
      <c r="C130" s="62" t="s">
        <v>650</v>
      </c>
      <c r="D130" s="85"/>
      <c r="M130" s="97"/>
      <c r="P130" s="78" t="s">
        <v>105</v>
      </c>
      <c r="Q130" s="12" t="s">
        <v>315</v>
      </c>
    </row>
    <row r="131" spans="1:17" ht="15" thickBot="1" x14ac:dyDescent="0.4">
      <c r="A131" s="29"/>
      <c r="B131" s="73"/>
      <c r="C131" s="88" t="s">
        <v>304</v>
      </c>
      <c r="D131" s="87"/>
      <c r="E131" s="29" t="str">
        <f>IF(D131=FR3_SI!$L$1,FR3_SI!$K$1,(IF(D131=FR3_SI!$L$2,FR3_SI!$K$2,(IF(D131=FR3_SI!$L$3,FR3_SI!$K$3,(IF(D131=FR3_SI!$L$4,FR3_SI!$K$4,FR3_SI!$K$5)))))))</f>
        <v/>
      </c>
      <c r="G131">
        <v>2</v>
      </c>
      <c r="H131">
        <v>3</v>
      </c>
      <c r="I131">
        <v>4</v>
      </c>
      <c r="J131">
        <f>MIN(F131:I131)</f>
        <v>2</v>
      </c>
      <c r="P131" s="78" t="s">
        <v>105</v>
      </c>
      <c r="Q131" s="12" t="s">
        <v>315</v>
      </c>
    </row>
    <row r="132" spans="1:17" hidden="1" x14ac:dyDescent="0.35">
      <c r="A132" t="s">
        <v>454</v>
      </c>
      <c r="B132" s="74" t="s">
        <v>651</v>
      </c>
      <c r="C132" s="62" t="s">
        <v>652</v>
      </c>
      <c r="D132" s="13" t="s">
        <v>321</v>
      </c>
      <c r="P132" s="78" t="s">
        <v>105</v>
      </c>
      <c r="Q132" s="12" t="s">
        <v>315</v>
      </c>
    </row>
    <row r="133" spans="1:17" ht="43.5" hidden="1" x14ac:dyDescent="0.35">
      <c r="B133" s="14" t="s">
        <v>653</v>
      </c>
      <c r="C133" s="62" t="s">
        <v>654</v>
      </c>
      <c r="D133" s="85" t="s">
        <v>655</v>
      </c>
      <c r="K133" s="5" t="s">
        <v>635</v>
      </c>
      <c r="M133" s="97"/>
      <c r="P133" s="78" t="s">
        <v>105</v>
      </c>
      <c r="Q133" s="12" t="s">
        <v>315</v>
      </c>
    </row>
    <row r="134" spans="1:17" ht="43.5" hidden="1" x14ac:dyDescent="0.35">
      <c r="B134" s="14" t="s">
        <v>656</v>
      </c>
      <c r="C134" s="62" t="s">
        <v>657</v>
      </c>
      <c r="D134" s="85"/>
      <c r="K134" s="5"/>
      <c r="P134" s="78"/>
    </row>
    <row r="135" spans="1:17" ht="43.5" hidden="1" x14ac:dyDescent="0.35">
      <c r="B135" s="14" t="s">
        <v>658</v>
      </c>
      <c r="C135" s="62" t="s">
        <v>659</v>
      </c>
      <c r="D135" s="85"/>
      <c r="K135" s="5"/>
      <c r="P135" s="78"/>
    </row>
    <row r="136" spans="1:17" ht="29.5" hidden="1" thickBot="1" x14ac:dyDescent="0.4">
      <c r="A136" s="29"/>
      <c r="B136" s="73"/>
      <c r="C136" s="88" t="s">
        <v>304</v>
      </c>
      <c r="D136" s="87" t="s">
        <v>303</v>
      </c>
      <c r="E136" s="29">
        <f>IF(D136=FR3_SI!$L$1,FR3_SI!$K$1,(IF(D136=FR3_SI!$L$2,FR3_SI!$K$2,(IF(D136=FR3_SI!$L$3,FR3_SI!$K$3,(IF(D136=FR3_SI!$L$4,FR3_SI!$K$4,FR3_SI!$K$5)))))))</f>
        <v>2</v>
      </c>
      <c r="F136">
        <v>1</v>
      </c>
      <c r="G136">
        <v>2</v>
      </c>
      <c r="H136">
        <v>3</v>
      </c>
      <c r="I136">
        <v>4</v>
      </c>
      <c r="J136">
        <f>MIN(F136:I136)</f>
        <v>1</v>
      </c>
      <c r="P136" s="78" t="s">
        <v>105</v>
      </c>
      <c r="Q136" s="12" t="s">
        <v>315</v>
      </c>
    </row>
    <row r="137" spans="1:17" hidden="1" x14ac:dyDescent="0.35">
      <c r="A137" t="s">
        <v>462</v>
      </c>
      <c r="B137" s="25" t="s">
        <v>660</v>
      </c>
      <c r="C137" s="36" t="s">
        <v>661</v>
      </c>
      <c r="D137" s="5" t="s">
        <v>321</v>
      </c>
      <c r="P137" s="78" t="str">
        <f>IF(COUNTA(K138:O138)=0,"No","Yes")</f>
        <v>No</v>
      </c>
    </row>
    <row r="138" spans="1:17" ht="72.5" hidden="1" x14ac:dyDescent="0.35">
      <c r="B138" s="2"/>
      <c r="C138" s="36" t="s">
        <v>662</v>
      </c>
      <c r="D138" s="19"/>
      <c r="P138" s="78" t="str">
        <f>IF(COUNTA(K138:O138)=0,"No","Yes")</f>
        <v>No</v>
      </c>
    </row>
    <row r="139" spans="1:17" ht="15" hidden="1" thickBot="1" x14ac:dyDescent="0.4">
      <c r="A139" s="29"/>
      <c r="B139" s="22"/>
      <c r="C139" s="38" t="s">
        <v>304</v>
      </c>
      <c r="D139" s="57"/>
      <c r="E139" s="29" t="str">
        <f>IF(D139=FR3_SI!$L$1,FR3_SI!$K$1,(IF(D139=FR3_SI!$L$2,FR3_SI!$K$2,(IF(D139=FR3_SI!$L$3,FR3_SI!$K$3,(IF(D139=FR3_SI!$L$4,FR3_SI!$K$4,FR3_SI!$K$5)))))))</f>
        <v/>
      </c>
      <c r="G139">
        <v>2</v>
      </c>
      <c r="H139">
        <v>3</v>
      </c>
      <c r="I139">
        <v>4</v>
      </c>
      <c r="J139">
        <f>MIN(F139:I139)</f>
        <v>2</v>
      </c>
      <c r="P139" s="78" t="str">
        <f>IF(COUNTA(K138:O138)=0,"No","Yes")</f>
        <v>No</v>
      </c>
    </row>
    <row r="140" spans="1:17" hidden="1" x14ac:dyDescent="0.35">
      <c r="A140" t="s">
        <v>464</v>
      </c>
      <c r="B140" s="74" t="s">
        <v>651</v>
      </c>
      <c r="C140" s="62" t="s">
        <v>652</v>
      </c>
      <c r="D140" s="13" t="s">
        <v>321</v>
      </c>
      <c r="P140" s="78" t="s">
        <v>105</v>
      </c>
      <c r="Q140" s="12" t="s">
        <v>315</v>
      </c>
    </row>
    <row r="141" spans="1:17" ht="46.5" hidden="1" customHeight="1" x14ac:dyDescent="0.35">
      <c r="B141" s="14" t="s">
        <v>653</v>
      </c>
      <c r="C141" s="62" t="s">
        <v>663</v>
      </c>
      <c r="D141" s="85"/>
      <c r="K141" t="s">
        <v>635</v>
      </c>
      <c r="M141" s="97"/>
      <c r="P141" s="78" t="s">
        <v>105</v>
      </c>
      <c r="Q141" s="12" t="s">
        <v>315</v>
      </c>
    </row>
    <row r="142" spans="1:17" ht="46.5" hidden="1" customHeight="1" x14ac:dyDescent="0.35">
      <c r="B142" s="14" t="s">
        <v>656</v>
      </c>
      <c r="C142" s="62" t="s">
        <v>664</v>
      </c>
      <c r="D142" s="85"/>
      <c r="P142" s="78"/>
    </row>
    <row r="143" spans="1:17" ht="46.5" hidden="1" customHeight="1" x14ac:dyDescent="0.35">
      <c r="B143" s="14" t="s">
        <v>658</v>
      </c>
      <c r="C143" s="62" t="s">
        <v>665</v>
      </c>
      <c r="D143" s="85"/>
      <c r="P143" s="78"/>
    </row>
    <row r="144" spans="1:17" ht="15" hidden="1" thickBot="1" x14ac:dyDescent="0.4">
      <c r="A144" s="29"/>
      <c r="B144" s="73"/>
      <c r="C144" s="88" t="s">
        <v>304</v>
      </c>
      <c r="D144" s="87"/>
      <c r="E144" s="29" t="str">
        <f>IF(D144=FR3_SI!$L$1,FR3_SI!$K$1,(IF(D144=FR3_SI!$L$2,FR3_SI!$K$2,(IF(D144=FR3_SI!$L$3,FR3_SI!$K$3,(IF(D144=FR3_SI!$L$4,FR3_SI!$K$4,FR3_SI!$K$5)))))))</f>
        <v/>
      </c>
      <c r="F144">
        <v>1</v>
      </c>
      <c r="G144">
        <v>2</v>
      </c>
      <c r="H144">
        <v>3</v>
      </c>
      <c r="I144">
        <v>4</v>
      </c>
      <c r="J144">
        <f>MIN(F144:I144)</f>
        <v>1</v>
      </c>
      <c r="P144" s="78" t="s">
        <v>105</v>
      </c>
      <c r="Q144" s="12" t="s">
        <v>315</v>
      </c>
    </row>
    <row r="145" spans="1:17" hidden="1" x14ac:dyDescent="0.35">
      <c r="A145" t="s">
        <v>466</v>
      </c>
      <c r="B145" s="25" t="s">
        <v>660</v>
      </c>
      <c r="C145" s="36" t="s">
        <v>666</v>
      </c>
      <c r="D145" s="5" t="s">
        <v>321</v>
      </c>
      <c r="P145" s="78" t="s">
        <v>105</v>
      </c>
    </row>
    <row r="146" spans="1:17" ht="60.75" hidden="1" customHeight="1" x14ac:dyDescent="0.35">
      <c r="B146" s="2"/>
      <c r="C146" s="36" t="s">
        <v>667</v>
      </c>
      <c r="D146" s="19"/>
      <c r="P146" s="78" t="str">
        <f>IF(COUNTA(K146:O146)=0,"No","Yes")</f>
        <v>No</v>
      </c>
    </row>
    <row r="147" spans="1:17" ht="15" hidden="1" thickBot="1" x14ac:dyDescent="0.4">
      <c r="A147" s="29"/>
      <c r="B147" s="22"/>
      <c r="C147" s="38" t="s">
        <v>304</v>
      </c>
      <c r="D147" s="57"/>
      <c r="E147" s="29" t="str">
        <f>IF(D147=FR3_SI!$L$1,FR3_SI!$K$1,(IF(D147=FR3_SI!$L$2,FR3_SI!$K$2,(IF(D147=FR3_SI!$L$3,FR3_SI!$K$3,(IF(D147=FR3_SI!$L$4,FR3_SI!$K$4,FR3_SI!$K$5)))))))</f>
        <v/>
      </c>
      <c r="G147">
        <v>2</v>
      </c>
      <c r="H147">
        <v>3</v>
      </c>
      <c r="I147">
        <v>4</v>
      </c>
      <c r="J147">
        <f>MIN(F147:I147)</f>
        <v>2</v>
      </c>
      <c r="P147" s="78" t="str">
        <f>IF(COUNTA(K146:O146)=0,"No","Yes")</f>
        <v>No</v>
      </c>
    </row>
    <row r="148" spans="1:17" hidden="1" x14ac:dyDescent="0.35">
      <c r="A148" t="s">
        <v>373</v>
      </c>
      <c r="B148" s="74" t="s">
        <v>651</v>
      </c>
      <c r="C148" s="62" t="s">
        <v>652</v>
      </c>
      <c r="D148" s="13" t="s">
        <v>321</v>
      </c>
      <c r="P148" s="78" t="s">
        <v>105</v>
      </c>
      <c r="Q148" s="12" t="s">
        <v>315</v>
      </c>
    </row>
    <row r="149" spans="1:17" ht="48" hidden="1" customHeight="1" x14ac:dyDescent="0.35">
      <c r="B149" s="14" t="s">
        <v>653</v>
      </c>
      <c r="C149" s="62" t="s">
        <v>668</v>
      </c>
      <c r="D149" s="85"/>
      <c r="K149" t="s">
        <v>635</v>
      </c>
      <c r="M149" s="97"/>
      <c r="P149" s="78" t="s">
        <v>105</v>
      </c>
      <c r="Q149" s="12" t="s">
        <v>315</v>
      </c>
    </row>
    <row r="150" spans="1:17" ht="48" hidden="1" customHeight="1" x14ac:dyDescent="0.35">
      <c r="B150" s="14" t="s">
        <v>656</v>
      </c>
      <c r="C150" s="62" t="s">
        <v>669</v>
      </c>
      <c r="D150" s="85"/>
      <c r="P150" s="78"/>
    </row>
    <row r="151" spans="1:17" ht="48" hidden="1" customHeight="1" x14ac:dyDescent="0.35">
      <c r="B151" s="14" t="s">
        <v>658</v>
      </c>
      <c r="C151" s="62" t="s">
        <v>670</v>
      </c>
      <c r="D151" s="85"/>
      <c r="P151" s="78"/>
    </row>
    <row r="152" spans="1:17" ht="15" hidden="1" thickBot="1" x14ac:dyDescent="0.4">
      <c r="A152" s="29"/>
      <c r="B152" s="73"/>
      <c r="C152" s="88" t="s">
        <v>304</v>
      </c>
      <c r="D152" s="87"/>
      <c r="E152" s="29" t="str">
        <f>IF(D152=FR3_SI!$L$1,FR3_SI!$K$1,(IF(D152=FR3_SI!$L$2,FR3_SI!$K$2,(IF(D152=FR3_SI!$L$3,FR3_SI!$K$3,(IF(D152=FR3_SI!$L$4,FR3_SI!$K$4,FR3_SI!$K$5)))))))</f>
        <v/>
      </c>
      <c r="F152">
        <v>1</v>
      </c>
      <c r="G152">
        <v>2</v>
      </c>
      <c r="H152">
        <v>3</v>
      </c>
      <c r="I152">
        <v>4</v>
      </c>
      <c r="J152">
        <f>MIN(F152:I152)</f>
        <v>1</v>
      </c>
      <c r="P152" s="78" t="s">
        <v>105</v>
      </c>
      <c r="Q152" s="12" t="s">
        <v>315</v>
      </c>
    </row>
    <row r="153" spans="1:17" hidden="1" x14ac:dyDescent="0.35">
      <c r="A153" t="s">
        <v>378</v>
      </c>
      <c r="B153" s="25" t="s">
        <v>660</v>
      </c>
      <c r="C153" s="36" t="s">
        <v>666</v>
      </c>
      <c r="D153" s="5" t="s">
        <v>321</v>
      </c>
      <c r="P153" s="78" t="str">
        <f>IF(COUNTA(K154:O154)=0,"No","Yes")</f>
        <v>No</v>
      </c>
    </row>
    <row r="154" spans="1:17" ht="58" hidden="1" x14ac:dyDescent="0.35">
      <c r="B154" s="2"/>
      <c r="C154" s="36" t="s">
        <v>671</v>
      </c>
      <c r="D154" s="19"/>
      <c r="P154" s="78" t="str">
        <f>IF(COUNTA(K154:O154)=0,"No","Yes")</f>
        <v>No</v>
      </c>
    </row>
    <row r="155" spans="1:17" hidden="1" x14ac:dyDescent="0.35">
      <c r="B155" s="2"/>
      <c r="C155" s="36" t="s">
        <v>304</v>
      </c>
      <c r="D155" s="58"/>
      <c r="E155" t="str">
        <f>IF(D155=FR3_SI!$L$1,FR3_SI!$K$1,(IF(D155=FR3_SI!$L$2,FR3_SI!$K$2,(IF(D155=FR3_SI!$L$3,FR3_SI!$K$3,(IF(D155=FR3_SI!$L$4,FR3_SI!$K$4,FR3_SI!$K$5)))))))</f>
        <v/>
      </c>
      <c r="G155">
        <v>2</v>
      </c>
      <c r="H155">
        <v>3</v>
      </c>
      <c r="I155">
        <v>4</v>
      </c>
      <c r="J155">
        <f>MIN(F155:I155)</f>
        <v>2</v>
      </c>
      <c r="P155" s="78" t="str">
        <f>IF(COUNTA(K154:O154)=0,"No","Yes")</f>
        <v>No</v>
      </c>
    </row>
    <row r="160" spans="1:17" x14ac:dyDescent="0.35">
      <c r="B160" s="89"/>
    </row>
  </sheetData>
  <autoFilter ref="P6:Q155" xr:uid="{00000000-0001-0000-0400-000000000000}">
    <filterColumn colId="0">
      <filters>
        <filter val="To be reviewed"/>
        <filter val="Yes"/>
      </filters>
    </filterColumn>
  </autoFilter>
  <conditionalFormatting sqref="E11">
    <cfRule type="cellIs" dxfId="380" priority="131" operator="between">
      <formula>2.75</formula>
      <formula>3</formula>
    </cfRule>
    <cfRule type="cellIs" dxfId="379" priority="132" operator="between">
      <formula>1.75</formula>
      <formula>2.75</formula>
    </cfRule>
    <cfRule type="cellIs" dxfId="378" priority="133" operator="equal">
      <formula>0</formula>
    </cfRule>
  </conditionalFormatting>
  <conditionalFormatting sqref="E14">
    <cfRule type="cellIs" dxfId="377" priority="128" operator="between">
      <formula>2.75</formula>
      <formula>3</formula>
    </cfRule>
    <cfRule type="cellIs" dxfId="376" priority="129" operator="between">
      <formula>1.75</formula>
      <formula>2.75</formula>
    </cfRule>
    <cfRule type="cellIs" dxfId="375" priority="130" operator="equal">
      <formula>0</formula>
    </cfRule>
  </conditionalFormatting>
  <conditionalFormatting sqref="E17">
    <cfRule type="cellIs" dxfId="374" priority="125" operator="between">
      <formula>2.75</formula>
      <formula>3</formula>
    </cfRule>
    <cfRule type="cellIs" dxfId="373" priority="126" operator="between">
      <formula>1.75</formula>
      <formula>2.75</formula>
    </cfRule>
    <cfRule type="cellIs" dxfId="372" priority="127" operator="equal">
      <formula>0</formula>
    </cfRule>
  </conditionalFormatting>
  <conditionalFormatting sqref="E20">
    <cfRule type="cellIs" dxfId="371" priority="122" operator="between">
      <formula>2.75</formula>
      <formula>3</formula>
    </cfRule>
    <cfRule type="cellIs" dxfId="370" priority="123" operator="between">
      <formula>1.75</formula>
      <formula>2.75</formula>
    </cfRule>
    <cfRule type="cellIs" dxfId="369" priority="124" operator="equal">
      <formula>0</formula>
    </cfRule>
  </conditionalFormatting>
  <conditionalFormatting sqref="E23">
    <cfRule type="cellIs" dxfId="368" priority="119" operator="between">
      <formula>2.75</formula>
      <formula>3</formula>
    </cfRule>
    <cfRule type="cellIs" dxfId="367" priority="120" operator="between">
      <formula>1.75</formula>
      <formula>2.75</formula>
    </cfRule>
    <cfRule type="cellIs" dxfId="366" priority="121" operator="equal">
      <formula>0</formula>
    </cfRule>
  </conditionalFormatting>
  <conditionalFormatting sqref="E26">
    <cfRule type="cellIs" dxfId="365" priority="116" operator="between">
      <formula>2.75</formula>
      <formula>3</formula>
    </cfRule>
    <cfRule type="cellIs" dxfId="364" priority="117" operator="between">
      <formula>1.75</formula>
      <formula>2.75</formula>
    </cfRule>
    <cfRule type="cellIs" dxfId="363" priority="118" operator="equal">
      <formula>0</formula>
    </cfRule>
  </conditionalFormatting>
  <conditionalFormatting sqref="E29">
    <cfRule type="cellIs" dxfId="362" priority="113" operator="between">
      <formula>2.75</formula>
      <formula>3</formula>
    </cfRule>
    <cfRule type="cellIs" dxfId="361" priority="114" operator="between">
      <formula>1.75</formula>
      <formula>2.75</formula>
    </cfRule>
    <cfRule type="cellIs" dxfId="360" priority="115" operator="equal">
      <formula>0</formula>
    </cfRule>
  </conditionalFormatting>
  <conditionalFormatting sqref="E32">
    <cfRule type="cellIs" dxfId="359" priority="110" operator="between">
      <formula>2.75</formula>
      <formula>3</formula>
    </cfRule>
    <cfRule type="cellIs" dxfId="358" priority="111" operator="between">
      <formula>1.75</formula>
      <formula>2.75</formula>
    </cfRule>
    <cfRule type="cellIs" dxfId="357" priority="112" operator="equal">
      <formula>0</formula>
    </cfRule>
  </conditionalFormatting>
  <conditionalFormatting sqref="E35">
    <cfRule type="cellIs" dxfId="356" priority="107" operator="between">
      <formula>2.75</formula>
      <formula>3</formula>
    </cfRule>
    <cfRule type="cellIs" dxfId="355" priority="108" operator="between">
      <formula>1.75</formula>
      <formula>2.75</formula>
    </cfRule>
    <cfRule type="cellIs" dxfId="354" priority="109" operator="equal">
      <formula>0</formula>
    </cfRule>
  </conditionalFormatting>
  <conditionalFormatting sqref="E43">
    <cfRule type="cellIs" dxfId="353" priority="104" operator="between">
      <formula>2.75</formula>
      <formula>3</formula>
    </cfRule>
    <cfRule type="cellIs" dxfId="352" priority="105" operator="between">
      <formula>1.75</formula>
      <formula>2.75</formula>
    </cfRule>
    <cfRule type="cellIs" dxfId="351" priority="106" operator="equal">
      <formula>0</formula>
    </cfRule>
  </conditionalFormatting>
  <conditionalFormatting sqref="E51">
    <cfRule type="cellIs" dxfId="350" priority="101" operator="between">
      <formula>2.75</formula>
      <formula>3</formula>
    </cfRule>
    <cfRule type="cellIs" dxfId="349" priority="102" operator="between">
      <formula>1.75</formula>
      <formula>2.75</formula>
    </cfRule>
    <cfRule type="cellIs" dxfId="348" priority="103" operator="equal">
      <formula>0</formula>
    </cfRule>
  </conditionalFormatting>
  <conditionalFormatting sqref="E54">
    <cfRule type="cellIs" dxfId="347" priority="98" operator="between">
      <formula>2.75</formula>
      <formula>3</formula>
    </cfRule>
    <cfRule type="cellIs" dxfId="346" priority="99" operator="between">
      <formula>1.75</formula>
      <formula>2.75</formula>
    </cfRule>
    <cfRule type="cellIs" dxfId="345" priority="100" operator="equal">
      <formula>0</formula>
    </cfRule>
  </conditionalFormatting>
  <conditionalFormatting sqref="E57">
    <cfRule type="cellIs" dxfId="344" priority="95" operator="between">
      <formula>2.75</formula>
      <formula>3</formula>
    </cfRule>
    <cfRule type="cellIs" dxfId="343" priority="96" operator="between">
      <formula>1.75</formula>
      <formula>2.75</formula>
    </cfRule>
    <cfRule type="cellIs" dxfId="342" priority="97" operator="equal">
      <formula>0</formula>
    </cfRule>
  </conditionalFormatting>
  <conditionalFormatting sqref="E60">
    <cfRule type="cellIs" dxfId="341" priority="92" operator="between">
      <formula>2.75</formula>
      <formula>3</formula>
    </cfRule>
    <cfRule type="cellIs" dxfId="340" priority="93" operator="between">
      <formula>1.75</formula>
      <formula>2.75</formula>
    </cfRule>
    <cfRule type="cellIs" dxfId="339" priority="94" operator="equal">
      <formula>0</formula>
    </cfRule>
  </conditionalFormatting>
  <conditionalFormatting sqref="E63">
    <cfRule type="cellIs" dxfId="338" priority="89" operator="between">
      <formula>2.75</formula>
      <formula>3</formula>
    </cfRule>
    <cfRule type="cellIs" dxfId="337" priority="90" operator="between">
      <formula>1.75</formula>
      <formula>2.75</formula>
    </cfRule>
    <cfRule type="cellIs" dxfId="336" priority="91" operator="equal">
      <formula>0</formula>
    </cfRule>
  </conditionalFormatting>
  <conditionalFormatting sqref="E68">
    <cfRule type="cellIs" dxfId="335" priority="86" operator="between">
      <formula>2.75</formula>
      <formula>3</formula>
    </cfRule>
    <cfRule type="cellIs" dxfId="334" priority="87" operator="between">
      <formula>1.75</formula>
      <formula>2.75</formula>
    </cfRule>
    <cfRule type="cellIs" dxfId="333" priority="88" operator="equal">
      <formula>0</formula>
    </cfRule>
  </conditionalFormatting>
  <conditionalFormatting sqref="E71">
    <cfRule type="cellIs" dxfId="332" priority="83" operator="between">
      <formula>2.75</formula>
      <formula>3</formula>
    </cfRule>
    <cfRule type="cellIs" dxfId="331" priority="84" operator="between">
      <formula>1.75</formula>
      <formula>2.75</formula>
    </cfRule>
    <cfRule type="cellIs" dxfId="330" priority="85" operator="equal">
      <formula>0</formula>
    </cfRule>
  </conditionalFormatting>
  <conditionalFormatting sqref="E74">
    <cfRule type="cellIs" dxfId="329" priority="80" operator="between">
      <formula>2.75</formula>
      <formula>3</formula>
    </cfRule>
    <cfRule type="cellIs" dxfId="328" priority="81" operator="between">
      <formula>1.75</formula>
      <formula>2.75</formula>
    </cfRule>
    <cfRule type="cellIs" dxfId="327" priority="82" operator="equal">
      <formula>0</formula>
    </cfRule>
  </conditionalFormatting>
  <conditionalFormatting sqref="E77">
    <cfRule type="cellIs" dxfId="326" priority="77" operator="between">
      <formula>2.75</formula>
      <formula>3</formula>
    </cfRule>
    <cfRule type="cellIs" dxfId="325" priority="78" operator="between">
      <formula>1.75</formula>
      <formula>2.75</formula>
    </cfRule>
    <cfRule type="cellIs" dxfId="324" priority="79" operator="equal">
      <formula>0</formula>
    </cfRule>
  </conditionalFormatting>
  <conditionalFormatting sqref="E80">
    <cfRule type="cellIs" dxfId="323" priority="74" operator="between">
      <formula>2.75</formula>
      <formula>3</formula>
    </cfRule>
    <cfRule type="cellIs" dxfId="322" priority="75" operator="between">
      <formula>1.75</formula>
      <formula>2.75</formula>
    </cfRule>
    <cfRule type="cellIs" dxfId="321" priority="76" operator="equal">
      <formula>0</formula>
    </cfRule>
  </conditionalFormatting>
  <conditionalFormatting sqref="E83">
    <cfRule type="cellIs" dxfId="320" priority="71" operator="between">
      <formula>2.75</formula>
      <formula>3</formula>
    </cfRule>
    <cfRule type="cellIs" dxfId="319" priority="72" operator="between">
      <formula>1.75</formula>
      <formula>2.75</formula>
    </cfRule>
    <cfRule type="cellIs" dxfId="318" priority="73" operator="equal">
      <formula>0</formula>
    </cfRule>
  </conditionalFormatting>
  <conditionalFormatting sqref="E86">
    <cfRule type="cellIs" dxfId="317" priority="68" operator="between">
      <formula>2.75</formula>
      <formula>3</formula>
    </cfRule>
    <cfRule type="cellIs" dxfId="316" priority="69" operator="between">
      <formula>1.75</formula>
      <formula>2.75</formula>
    </cfRule>
    <cfRule type="cellIs" dxfId="315" priority="70" operator="equal">
      <formula>0</formula>
    </cfRule>
  </conditionalFormatting>
  <conditionalFormatting sqref="E89">
    <cfRule type="cellIs" dxfId="314" priority="65" operator="between">
      <formula>2.75</formula>
      <formula>3</formula>
    </cfRule>
    <cfRule type="cellIs" dxfId="313" priority="66" operator="between">
      <formula>1.75</formula>
      <formula>2.75</formula>
    </cfRule>
    <cfRule type="cellIs" dxfId="312" priority="67" operator="equal">
      <formula>0</formula>
    </cfRule>
  </conditionalFormatting>
  <conditionalFormatting sqref="E92">
    <cfRule type="cellIs" dxfId="311" priority="62" operator="between">
      <formula>2.75</formula>
      <formula>3</formula>
    </cfRule>
    <cfRule type="cellIs" dxfId="310" priority="63" operator="between">
      <formula>1.75</formula>
      <formula>2.75</formula>
    </cfRule>
    <cfRule type="cellIs" dxfId="309" priority="64" operator="equal">
      <formula>0</formula>
    </cfRule>
  </conditionalFormatting>
  <conditionalFormatting sqref="E95">
    <cfRule type="cellIs" dxfId="308" priority="59" operator="between">
      <formula>2.75</formula>
      <formula>3</formula>
    </cfRule>
    <cfRule type="cellIs" dxfId="307" priority="60" operator="between">
      <formula>1.75</formula>
      <formula>2.75</formula>
    </cfRule>
    <cfRule type="cellIs" dxfId="306" priority="61" operator="equal">
      <formula>0</formula>
    </cfRule>
  </conditionalFormatting>
  <conditionalFormatting sqref="E98">
    <cfRule type="cellIs" dxfId="305" priority="56" operator="between">
      <formula>2.75</formula>
      <formula>3</formula>
    </cfRule>
    <cfRule type="cellIs" dxfId="304" priority="57" operator="between">
      <formula>1.75</formula>
      <formula>2.75</formula>
    </cfRule>
    <cfRule type="cellIs" dxfId="303" priority="58" operator="equal">
      <formula>0</formula>
    </cfRule>
  </conditionalFormatting>
  <conditionalFormatting sqref="E101">
    <cfRule type="cellIs" dxfId="302" priority="53" operator="between">
      <formula>2.75</formula>
      <formula>3</formula>
    </cfRule>
    <cfRule type="cellIs" dxfId="301" priority="54" operator="between">
      <formula>1.75</formula>
      <formula>2.75</formula>
    </cfRule>
    <cfRule type="cellIs" dxfId="300" priority="55" operator="equal">
      <formula>0</formula>
    </cfRule>
  </conditionalFormatting>
  <conditionalFormatting sqref="E104">
    <cfRule type="cellIs" dxfId="299" priority="50" operator="between">
      <formula>2.75</formula>
      <formula>3</formula>
    </cfRule>
    <cfRule type="cellIs" dxfId="298" priority="51" operator="between">
      <formula>1.75</formula>
      <formula>2.75</formula>
    </cfRule>
    <cfRule type="cellIs" dxfId="297" priority="52" operator="equal">
      <formula>0</formula>
    </cfRule>
  </conditionalFormatting>
  <conditionalFormatting sqref="E107">
    <cfRule type="cellIs" dxfId="296" priority="47" operator="between">
      <formula>2.75</formula>
      <formula>3</formula>
    </cfRule>
    <cfRule type="cellIs" dxfId="295" priority="48" operator="between">
      <formula>1.75</formula>
      <formula>2.75</formula>
    </cfRule>
    <cfRule type="cellIs" dxfId="294" priority="49" operator="equal">
      <formula>0</formula>
    </cfRule>
  </conditionalFormatting>
  <conditionalFormatting sqref="E110">
    <cfRule type="cellIs" dxfId="293" priority="44" operator="between">
      <formula>2.75</formula>
      <formula>3</formula>
    </cfRule>
    <cfRule type="cellIs" dxfId="292" priority="45" operator="between">
      <formula>1.75</formula>
      <formula>2.75</formula>
    </cfRule>
    <cfRule type="cellIs" dxfId="291" priority="46" operator="equal">
      <formula>0</formula>
    </cfRule>
  </conditionalFormatting>
  <conditionalFormatting sqref="E113">
    <cfRule type="cellIs" dxfId="290" priority="41" operator="between">
      <formula>2.75</formula>
      <formula>3</formula>
    </cfRule>
    <cfRule type="cellIs" dxfId="289" priority="42" operator="between">
      <formula>1.75</formula>
      <formula>2.75</formula>
    </cfRule>
    <cfRule type="cellIs" dxfId="288" priority="43" operator="equal">
      <formula>0</formula>
    </cfRule>
  </conditionalFormatting>
  <conditionalFormatting sqref="E116">
    <cfRule type="cellIs" dxfId="287" priority="38" operator="between">
      <formula>2.75</formula>
      <formula>3</formula>
    </cfRule>
    <cfRule type="cellIs" dxfId="286" priority="39" operator="between">
      <formula>1.75</formula>
      <formula>2.75</formula>
    </cfRule>
    <cfRule type="cellIs" dxfId="285" priority="40" operator="equal">
      <formula>0</formula>
    </cfRule>
  </conditionalFormatting>
  <conditionalFormatting sqref="E119">
    <cfRule type="cellIs" dxfId="284" priority="35" operator="between">
      <formula>2.75</formula>
      <formula>3</formula>
    </cfRule>
    <cfRule type="cellIs" dxfId="283" priority="36" operator="between">
      <formula>1.75</formula>
      <formula>2.75</formula>
    </cfRule>
    <cfRule type="cellIs" dxfId="282" priority="37" operator="equal">
      <formula>0</formula>
    </cfRule>
  </conditionalFormatting>
  <conditionalFormatting sqref="E123">
    <cfRule type="cellIs" dxfId="281" priority="32" operator="between">
      <formula>2.75</formula>
      <formula>3</formula>
    </cfRule>
    <cfRule type="cellIs" dxfId="280" priority="33" operator="between">
      <formula>1.75</formula>
      <formula>2.75</formula>
    </cfRule>
    <cfRule type="cellIs" dxfId="279" priority="34" operator="equal">
      <formula>0</formula>
    </cfRule>
  </conditionalFormatting>
  <conditionalFormatting sqref="E127">
    <cfRule type="cellIs" dxfId="278" priority="29" operator="between">
      <formula>2.75</formula>
      <formula>3</formula>
    </cfRule>
    <cfRule type="cellIs" dxfId="277" priority="30" operator="between">
      <formula>1.75</formula>
      <formula>2.75</formula>
    </cfRule>
    <cfRule type="cellIs" dxfId="276" priority="31" operator="equal">
      <formula>0</formula>
    </cfRule>
  </conditionalFormatting>
  <conditionalFormatting sqref="E131">
    <cfRule type="cellIs" dxfId="275" priority="26" operator="between">
      <formula>2.75</formula>
      <formula>3</formula>
    </cfRule>
    <cfRule type="cellIs" dxfId="274" priority="27" operator="between">
      <formula>1.75</formula>
      <formula>2.75</formula>
    </cfRule>
    <cfRule type="cellIs" dxfId="273" priority="28" operator="equal">
      <formula>0</formula>
    </cfRule>
  </conditionalFormatting>
  <conditionalFormatting sqref="E136">
    <cfRule type="cellIs" dxfId="272" priority="23" operator="between">
      <formula>2.75</formula>
      <formula>3</formula>
    </cfRule>
    <cfRule type="cellIs" dxfId="271" priority="24" operator="between">
      <formula>1.75</formula>
      <formula>2.75</formula>
    </cfRule>
    <cfRule type="cellIs" dxfId="270" priority="25" operator="equal">
      <formula>0</formula>
    </cfRule>
  </conditionalFormatting>
  <conditionalFormatting sqref="E139">
    <cfRule type="cellIs" dxfId="269" priority="20" operator="between">
      <formula>2.75</formula>
      <formula>3</formula>
    </cfRule>
    <cfRule type="cellIs" dxfId="268" priority="21" operator="between">
      <formula>1.75</formula>
      <formula>2.75</formula>
    </cfRule>
    <cfRule type="cellIs" dxfId="267" priority="22" operator="equal">
      <formula>0</formula>
    </cfRule>
  </conditionalFormatting>
  <conditionalFormatting sqref="E144">
    <cfRule type="cellIs" dxfId="266" priority="17" operator="between">
      <formula>2.75</formula>
      <formula>3</formula>
    </cfRule>
    <cfRule type="cellIs" dxfId="265" priority="18" operator="between">
      <formula>1.75</formula>
      <formula>2.75</formula>
    </cfRule>
    <cfRule type="cellIs" dxfId="264" priority="19" operator="equal">
      <formula>0</formula>
    </cfRule>
  </conditionalFormatting>
  <conditionalFormatting sqref="E147">
    <cfRule type="cellIs" dxfId="263" priority="14" operator="between">
      <formula>2.75</formula>
      <formula>3</formula>
    </cfRule>
    <cfRule type="cellIs" dxfId="262" priority="15" operator="between">
      <formula>1.75</formula>
      <formula>2.75</formula>
    </cfRule>
    <cfRule type="cellIs" dxfId="261" priority="16" operator="equal">
      <formula>0</formula>
    </cfRule>
  </conditionalFormatting>
  <conditionalFormatting sqref="E152">
    <cfRule type="cellIs" dxfId="260" priority="11" operator="between">
      <formula>2.75</formula>
      <formula>3</formula>
    </cfRule>
    <cfRule type="cellIs" dxfId="259" priority="12" operator="between">
      <formula>1.75</formula>
      <formula>2.75</formula>
    </cfRule>
    <cfRule type="cellIs" dxfId="258" priority="13" operator="equal">
      <formula>0</formula>
    </cfRule>
  </conditionalFormatting>
  <conditionalFormatting sqref="E155">
    <cfRule type="cellIs" dxfId="257" priority="8" operator="between">
      <formula>2.75</formula>
      <formula>3</formula>
    </cfRule>
    <cfRule type="cellIs" dxfId="256" priority="9" operator="between">
      <formula>1.75</formula>
      <formula>2.75</formula>
    </cfRule>
    <cfRule type="cellIs" dxfId="255" priority="10" operator="equal">
      <formula>0</formula>
    </cfRule>
  </conditionalFormatting>
  <conditionalFormatting sqref="F7:I7">
    <cfRule type="cellIs" dxfId="254" priority="1" operator="equal">
      <formula>3</formula>
    </cfRule>
    <cfRule type="cellIs" dxfId="253" priority="2" operator="between">
      <formula>2</formula>
      <formula>3</formula>
    </cfRule>
    <cfRule type="cellIs" dxfId="252" priority="3" operator="between">
      <formula>0</formula>
      <formula>2</formula>
    </cfRule>
  </conditionalFormatting>
  <conditionalFormatting sqref="K1:K4">
    <cfRule type="cellIs" dxfId="251" priority="134" stopIfTrue="1" operator="between">
      <formula>2.75</formula>
      <formula>3</formula>
    </cfRule>
    <cfRule type="cellIs" dxfId="250" priority="135" stopIfTrue="1" operator="between">
      <formula>1.5</formula>
      <formula>2.75</formula>
    </cfRule>
    <cfRule type="cellIs" dxfId="249" priority="136" stopIfTrue="1" operator="between">
      <formula>0</formula>
      <formula>1.5</formula>
    </cfRule>
  </conditionalFormatting>
  <dataValidations count="1">
    <dataValidation type="list" allowBlank="1" showInputMessage="1" showErrorMessage="1" sqref="D11 D14 D17 D20 D23 D26 D29 D32 D35 D43 D51 D54 D57 D60 D63 D68 D71 D74 D77 D80 D83 D86 D89 D92 D95 D98 D101 D104 D107 D110 D113 D116 D119 D123 D127 D131 D136 D139 D144 D147 D152 D155" xr:uid="{00000000-0002-0000-0400-000000000000}">
      <formula1>Rating</formula1>
    </dataValidation>
  </dataValidations>
  <pageMargins left="0.7" right="0.7" top="0.75" bottom="0.75" header="0.3" footer="0.3"/>
  <pageSetup paperSize="9" orientation="portrait" r:id="rId1"/>
  <customProperties>
    <customPr name="_pios_id" r:id="rId2"/>
  </customProperties>
  <ignoredErrors>
    <ignoredError sqref="B120" twoDigitTextYear="1"/>
  </ignoredErrors>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5"/>
  <sheetViews>
    <sheetView zoomScaleNormal="100" workbookViewId="0">
      <pane ySplit="7" topLeftCell="A11" activePane="bottomLeft" state="frozen"/>
      <selection pane="bottomLeft" activeCell="C23" sqref="C23"/>
    </sheetView>
  </sheetViews>
  <sheetFormatPr defaultColWidth="8.6328125" defaultRowHeight="14.5" x14ac:dyDescent="0.35"/>
  <cols>
    <col min="3" max="3" width="52.36328125" customWidth="1"/>
    <col min="4" max="4" width="49" customWidth="1"/>
    <col min="11" max="11" width="9.6328125" customWidth="1"/>
    <col min="14" max="14" width="11" customWidth="1"/>
  </cols>
  <sheetData>
    <row r="1" spans="1:17" x14ac:dyDescent="0.35">
      <c r="A1" s="1" t="s">
        <v>7</v>
      </c>
      <c r="F1" s="4"/>
      <c r="G1" s="4"/>
      <c r="H1" s="4"/>
      <c r="I1" s="4"/>
      <c r="J1" s="9" t="s">
        <v>88</v>
      </c>
      <c r="K1" s="9">
        <v>3</v>
      </c>
      <c r="L1" t="s">
        <v>301</v>
      </c>
      <c r="M1" s="2"/>
      <c r="N1" s="2"/>
      <c r="O1" s="2"/>
      <c r="P1" s="2"/>
    </row>
    <row r="2" spans="1:17" x14ac:dyDescent="0.35">
      <c r="A2" s="2" t="s">
        <v>8</v>
      </c>
      <c r="F2" s="16" t="s">
        <v>302</v>
      </c>
      <c r="G2" s="4"/>
      <c r="H2" s="4"/>
      <c r="I2" s="4"/>
      <c r="K2" s="9">
        <v>2</v>
      </c>
      <c r="L2" t="s">
        <v>303</v>
      </c>
      <c r="M2" s="2"/>
      <c r="N2" s="2"/>
      <c r="O2" s="2"/>
      <c r="P2" s="2"/>
    </row>
    <row r="3" spans="1:17" x14ac:dyDescent="0.35">
      <c r="A3" s="2" t="s">
        <v>9</v>
      </c>
      <c r="F3" t="s">
        <v>304</v>
      </c>
      <c r="G3" s="4"/>
      <c r="H3" s="4"/>
      <c r="I3" s="4"/>
      <c r="K3" s="9">
        <v>0</v>
      </c>
      <c r="L3" t="s">
        <v>305</v>
      </c>
      <c r="M3" s="2"/>
      <c r="N3" s="2"/>
      <c r="O3" s="2"/>
      <c r="P3" s="2"/>
    </row>
    <row r="4" spans="1:17" x14ac:dyDescent="0.35">
      <c r="A4" s="2" t="s">
        <v>10</v>
      </c>
      <c r="B4" s="2"/>
      <c r="C4" s="2" t="s">
        <v>11</v>
      </c>
      <c r="F4" s="4"/>
      <c r="G4" s="4"/>
      <c r="H4" s="4"/>
      <c r="I4" s="4"/>
      <c r="K4" s="9" t="s">
        <v>306</v>
      </c>
      <c r="L4" t="s">
        <v>307</v>
      </c>
      <c r="M4" s="2"/>
      <c r="N4" s="2"/>
      <c r="O4" s="2"/>
      <c r="P4" s="2"/>
    </row>
    <row r="5" spans="1:17" x14ac:dyDescent="0.35">
      <c r="F5" s="4"/>
      <c r="G5" s="4"/>
      <c r="H5" s="4"/>
      <c r="I5" s="4"/>
      <c r="J5" s="3"/>
      <c r="K5" s="17" t="s">
        <v>32</v>
      </c>
      <c r="L5" s="2"/>
      <c r="M5" s="2"/>
      <c r="N5" s="2"/>
      <c r="O5" s="2"/>
      <c r="P5">
        <v>2</v>
      </c>
    </row>
    <row r="6" spans="1:17" ht="43.5" x14ac:dyDescent="0.35">
      <c r="A6" s="31"/>
      <c r="B6" s="31"/>
      <c r="C6" s="31"/>
      <c r="D6" s="31"/>
      <c r="F6" s="40" t="s">
        <v>23</v>
      </c>
      <c r="G6" s="40" t="s">
        <v>26</v>
      </c>
      <c r="H6" s="40" t="s">
        <v>28</v>
      </c>
      <c r="I6" s="40" t="s">
        <v>30</v>
      </c>
      <c r="J6" s="43" t="s">
        <v>94</v>
      </c>
      <c r="K6" s="61" t="s">
        <v>182</v>
      </c>
      <c r="L6" s="60" t="s">
        <v>308</v>
      </c>
      <c r="M6" s="60" t="s">
        <v>309</v>
      </c>
      <c r="N6" s="60" t="s">
        <v>310</v>
      </c>
      <c r="O6" s="60" t="s">
        <v>311</v>
      </c>
      <c r="P6" s="77" t="s">
        <v>420</v>
      </c>
      <c r="Q6" s="63" t="s">
        <v>313</v>
      </c>
    </row>
    <row r="7" spans="1:17" x14ac:dyDescent="0.35">
      <c r="A7" s="1" t="s">
        <v>47</v>
      </c>
      <c r="B7" s="2"/>
      <c r="F7" s="42">
        <f>IFERROR(AVERAGE(E12,E24),"n/a")</f>
        <v>2.5</v>
      </c>
      <c r="G7" s="42">
        <f>IFERROR(AVERAGE(E12,E15,E24),"n/a")</f>
        <v>2.5</v>
      </c>
      <c r="H7" s="42">
        <f>IFERROR(AVERAGE(E12,E15,E18,E21,E24),"n/a")</f>
        <v>2.5</v>
      </c>
      <c r="I7" s="42">
        <f>IFERROR(AVERAGE(E12,E15,E18,E21,E24),"n/a")</f>
        <v>2.5</v>
      </c>
      <c r="P7" s="78" t="s">
        <v>315</v>
      </c>
      <c r="Q7" t="s">
        <v>315</v>
      </c>
    </row>
    <row r="8" spans="1:17" ht="72.5" x14ac:dyDescent="0.35">
      <c r="A8" s="1"/>
      <c r="B8" s="18"/>
      <c r="C8" s="18" t="s">
        <v>672</v>
      </c>
      <c r="D8" s="20" t="s">
        <v>317</v>
      </c>
      <c r="P8" s="78"/>
      <c r="Q8" t="s">
        <v>315</v>
      </c>
    </row>
    <row r="9" spans="1:17" x14ac:dyDescent="0.35">
      <c r="A9" s="30" t="s">
        <v>318</v>
      </c>
      <c r="B9" s="23" t="s">
        <v>673</v>
      </c>
      <c r="C9" s="37" t="s">
        <v>674</v>
      </c>
      <c r="D9" s="56" t="s">
        <v>321</v>
      </c>
      <c r="P9" s="78"/>
      <c r="Q9" t="s">
        <v>315</v>
      </c>
    </row>
    <row r="10" spans="1:17" ht="58" x14ac:dyDescent="0.35">
      <c r="B10" s="2" t="s">
        <v>675</v>
      </c>
      <c r="C10" s="36" t="s">
        <v>676</v>
      </c>
      <c r="D10" s="19" t="s">
        <v>677</v>
      </c>
      <c r="K10" t="s">
        <v>678</v>
      </c>
      <c r="M10" s="95"/>
      <c r="P10" s="78"/>
      <c r="Q10" t="s">
        <v>315</v>
      </c>
    </row>
    <row r="11" spans="1:17" ht="43.5" x14ac:dyDescent="0.35">
      <c r="B11" s="2" t="s">
        <v>679</v>
      </c>
      <c r="C11" s="36" t="s">
        <v>680</v>
      </c>
      <c r="D11" s="19" t="s">
        <v>681</v>
      </c>
      <c r="K11" t="s">
        <v>682</v>
      </c>
      <c r="M11" s="94"/>
      <c r="P11" s="78"/>
      <c r="Q11" t="s">
        <v>315</v>
      </c>
    </row>
    <row r="12" spans="1:17" ht="29.5" thickBot="1" x14ac:dyDescent="0.4">
      <c r="A12" s="29"/>
      <c r="B12" s="22"/>
      <c r="C12" s="26" t="s">
        <v>304</v>
      </c>
      <c r="D12" s="57" t="s">
        <v>303</v>
      </c>
      <c r="E12" s="29">
        <f>IF(D12=FR4_DC!$L$1,FR4_DC!$K$1,(IF(D12=FR4_DC!$L$2,FR4_DC!$K$2,(IF(D12=FR4_DC!$L$3,FR4_DC!$K$3,(IF(D12=FR4_DC!$L$4,FR4_DC!$K$4,FR4_DC!$K$5)))))))</f>
        <v>2</v>
      </c>
      <c r="F12">
        <v>1</v>
      </c>
      <c r="G12">
        <v>2</v>
      </c>
      <c r="H12">
        <v>3</v>
      </c>
      <c r="I12">
        <v>4</v>
      </c>
      <c r="J12">
        <f>MIN(F12:I12)</f>
        <v>1</v>
      </c>
      <c r="P12" s="78"/>
      <c r="Q12" t="s">
        <v>315</v>
      </c>
    </row>
    <row r="13" spans="1:17" x14ac:dyDescent="0.35">
      <c r="A13" t="s">
        <v>318</v>
      </c>
      <c r="B13" s="25" t="s">
        <v>683</v>
      </c>
      <c r="C13" s="25" t="s">
        <v>684</v>
      </c>
      <c r="D13" s="5" t="s">
        <v>321</v>
      </c>
      <c r="P13" s="78" t="str">
        <f>IF(COUNTA(K14:O14)=0,"No","Yes")</f>
        <v>No</v>
      </c>
      <c r="Q13" t="s">
        <v>315</v>
      </c>
    </row>
    <row r="14" spans="1:17" ht="58" x14ac:dyDescent="0.35">
      <c r="B14" s="2"/>
      <c r="C14" s="24" t="s">
        <v>685</v>
      </c>
      <c r="D14" s="19"/>
      <c r="P14" s="78" t="str">
        <f>IF(COUNTA(K14:O14)=0,"No","Yes")</f>
        <v>No</v>
      </c>
      <c r="Q14" t="s">
        <v>315</v>
      </c>
    </row>
    <row r="15" spans="1:17" ht="15" thickBot="1" x14ac:dyDescent="0.4">
      <c r="A15" s="29"/>
      <c r="B15" s="22"/>
      <c r="C15" s="26" t="s">
        <v>304</v>
      </c>
      <c r="D15" s="57"/>
      <c r="E15" s="29" t="str">
        <f>IF(D15=FR4_DC!$L$1,FR4_DC!$K$1,(IF(D15=FR4_DC!$L$2,FR4_DC!$K$2,(IF(D15=FR4_DC!$L$3,FR4_DC!$K$3,(IF(D15=FR4_DC!$L$4,FR4_DC!$K$4,FR4_DC!$K$5)))))))</f>
        <v/>
      </c>
      <c r="G15">
        <v>2</v>
      </c>
      <c r="H15">
        <v>3</v>
      </c>
      <c r="I15">
        <v>4</v>
      </c>
      <c r="J15">
        <f>MIN(F15:I15)</f>
        <v>2</v>
      </c>
      <c r="P15" s="78" t="str">
        <f>IF(COUNTA(K14:O14)=0,"No","Yes")</f>
        <v>No</v>
      </c>
      <c r="Q15" t="s">
        <v>315</v>
      </c>
    </row>
    <row r="16" spans="1:17" x14ac:dyDescent="0.35">
      <c r="A16" t="s">
        <v>325</v>
      </c>
      <c r="B16" s="25" t="s">
        <v>686</v>
      </c>
      <c r="C16" s="25" t="s">
        <v>687</v>
      </c>
      <c r="D16" s="5" t="s">
        <v>321</v>
      </c>
      <c r="P16" s="78" t="str">
        <f>IF(COUNTA(K17:O17)=0,"No","Yes")</f>
        <v>No</v>
      </c>
      <c r="Q16" t="s">
        <v>315</v>
      </c>
    </row>
    <row r="17" spans="1:17" ht="202.5" customHeight="1" x14ac:dyDescent="0.35">
      <c r="B17" s="2"/>
      <c r="C17" s="24" t="s">
        <v>688</v>
      </c>
      <c r="D17" s="19"/>
      <c r="P17" s="78" t="str">
        <f>IF(COUNTA(K17:O17)=0,"No","Yes")</f>
        <v>No</v>
      </c>
      <c r="Q17" t="s">
        <v>315</v>
      </c>
    </row>
    <row r="18" spans="1:17" ht="15" thickBot="1" x14ac:dyDescent="0.4">
      <c r="A18" s="29"/>
      <c r="B18" s="22"/>
      <c r="C18" s="26" t="s">
        <v>304</v>
      </c>
      <c r="D18" s="57"/>
      <c r="E18" s="29" t="str">
        <f>IF(D18=FR4_DC!$L$1,FR4_DC!$K$1,(IF(D18=FR4_DC!$L$2,FR4_DC!$K$2,(IF(D18=FR4_DC!$L$3,FR4_DC!$K$3,(IF(D18=FR4_DC!$L$4,FR4_DC!$K$4,FR4_DC!$K$5)))))))</f>
        <v/>
      </c>
      <c r="H18">
        <v>3</v>
      </c>
      <c r="I18">
        <v>4</v>
      </c>
      <c r="J18">
        <f>MIN(F18:I18)</f>
        <v>3</v>
      </c>
      <c r="P18" s="78" t="str">
        <f>IF(COUNTA(K17:O17)=0,"No","Yes")</f>
        <v>No</v>
      </c>
      <c r="Q18" t="s">
        <v>315</v>
      </c>
    </row>
    <row r="19" spans="1:17" x14ac:dyDescent="0.35">
      <c r="A19" t="s">
        <v>325</v>
      </c>
      <c r="B19" s="25" t="s">
        <v>689</v>
      </c>
      <c r="C19" s="25" t="s">
        <v>690</v>
      </c>
      <c r="D19" s="5" t="s">
        <v>321</v>
      </c>
      <c r="P19" s="78" t="str">
        <f>IF(COUNTA(K20:O20)=0,"No","Yes")</f>
        <v>No</v>
      </c>
      <c r="Q19" t="s">
        <v>315</v>
      </c>
    </row>
    <row r="20" spans="1:17" ht="29" x14ac:dyDescent="0.35">
      <c r="B20" s="2"/>
      <c r="C20" s="24" t="s">
        <v>691</v>
      </c>
      <c r="D20" s="19"/>
      <c r="P20" s="78" t="str">
        <f>IF(COUNTA(K20:O20)=0,"No","Yes")</f>
        <v>No</v>
      </c>
      <c r="Q20" t="s">
        <v>315</v>
      </c>
    </row>
    <row r="21" spans="1:17" ht="15" thickBot="1" x14ac:dyDescent="0.4">
      <c r="A21" s="29"/>
      <c r="B21" s="22"/>
      <c r="C21" s="26" t="s">
        <v>304</v>
      </c>
      <c r="D21" s="57"/>
      <c r="E21" s="29" t="str">
        <f>IF(D21=FR4_DC!$L$1,FR4_DC!$K$1,(IF(D21=FR4_DC!$L$2,FR4_DC!$K$2,(IF(D21=FR4_DC!$L$3,FR4_DC!$K$3,(IF(D21=FR4_DC!$L$4,FR4_DC!$K$4,FR4_DC!$K$5)))))))</f>
        <v/>
      </c>
      <c r="H21">
        <v>3</v>
      </c>
      <c r="I21">
        <v>4</v>
      </c>
      <c r="J21">
        <f>MIN(F21:I21)</f>
        <v>3</v>
      </c>
      <c r="P21" s="78" t="str">
        <f>IF(COUNTA(K20:O20)=0,"No","Yes")</f>
        <v>No</v>
      </c>
      <c r="Q21" t="s">
        <v>315</v>
      </c>
    </row>
    <row r="22" spans="1:17" x14ac:dyDescent="0.35">
      <c r="A22" t="s">
        <v>318</v>
      </c>
      <c r="B22" s="25" t="s">
        <v>692</v>
      </c>
      <c r="C22" s="25" t="s">
        <v>693</v>
      </c>
      <c r="D22" s="5" t="s">
        <v>321</v>
      </c>
      <c r="O22" t="s">
        <v>315</v>
      </c>
      <c r="P22" s="78" t="str">
        <f>IF(COUNTA(K23:O23)=0,"No","Yes")</f>
        <v>Yes</v>
      </c>
      <c r="Q22" t="s">
        <v>315</v>
      </c>
    </row>
    <row r="23" spans="1:17" ht="58" x14ac:dyDescent="0.35">
      <c r="B23" s="2"/>
      <c r="C23" s="24" t="s">
        <v>694</v>
      </c>
      <c r="D23" s="19"/>
      <c r="K23" s="5" t="s">
        <v>695</v>
      </c>
      <c r="M23" s="96" t="s">
        <v>696</v>
      </c>
      <c r="N23" s="5" t="s">
        <v>695</v>
      </c>
      <c r="O23" s="12" t="s">
        <v>315</v>
      </c>
      <c r="P23" s="78" t="str">
        <f>IF(COUNTA(K23:O23)=0,"No","Yes")</f>
        <v>Yes</v>
      </c>
      <c r="Q23" t="s">
        <v>315</v>
      </c>
    </row>
    <row r="24" spans="1:17" ht="15" thickBot="1" x14ac:dyDescent="0.4">
      <c r="A24" s="29"/>
      <c r="B24" s="22"/>
      <c r="C24" s="26" t="s">
        <v>304</v>
      </c>
      <c r="D24" s="57" t="s">
        <v>301</v>
      </c>
      <c r="E24" s="29">
        <f>IF(D24=FR4_DC!$L$1,FR4_DC!$K$1,(IF(D24=FR4_DC!$L$2,FR4_DC!$K$2,(IF(D24=FR4_DC!$L$3,FR4_DC!$K$3,(IF(D24=FR4_DC!$L$4,FR4_DC!$K$4,FR4_DC!$K$5)))))))</f>
        <v>3</v>
      </c>
      <c r="F24">
        <v>1</v>
      </c>
      <c r="G24">
        <v>2</v>
      </c>
      <c r="H24">
        <v>3</v>
      </c>
      <c r="I24">
        <v>4</v>
      </c>
      <c r="J24">
        <f>MIN(F24:I24)</f>
        <v>1</v>
      </c>
      <c r="O24" t="s">
        <v>315</v>
      </c>
      <c r="P24" s="78" t="str">
        <f>IF(COUNTA(K23:O23)=0,"No","Yes")</f>
        <v>Yes</v>
      </c>
      <c r="Q24" t="s">
        <v>315</v>
      </c>
    </row>
    <row r="25" spans="1:17" x14ac:dyDescent="0.35">
      <c r="P25" s="78"/>
    </row>
    <row r="26" spans="1:17" x14ac:dyDescent="0.35">
      <c r="P26" s="78"/>
    </row>
    <row r="27" spans="1:17" x14ac:dyDescent="0.35">
      <c r="P27" s="78"/>
    </row>
    <row r="28" spans="1:17" x14ac:dyDescent="0.35">
      <c r="P28" s="78"/>
    </row>
    <row r="29" spans="1:17" x14ac:dyDescent="0.35">
      <c r="P29" s="78"/>
    </row>
    <row r="30" spans="1:17" x14ac:dyDescent="0.35">
      <c r="P30" s="78"/>
    </row>
    <row r="31" spans="1:17" x14ac:dyDescent="0.35">
      <c r="P31" s="78"/>
    </row>
    <row r="32" spans="1:17" x14ac:dyDescent="0.35">
      <c r="P32" s="78"/>
    </row>
    <row r="33" spans="16:16" x14ac:dyDescent="0.35">
      <c r="P33" s="78"/>
    </row>
    <row r="34" spans="16:16" x14ac:dyDescent="0.35">
      <c r="P34" s="78"/>
    </row>
    <row r="35" spans="16:16" x14ac:dyDescent="0.35">
      <c r="P35" s="78"/>
    </row>
    <row r="36" spans="16:16" x14ac:dyDescent="0.35">
      <c r="P36" s="78"/>
    </row>
    <row r="37" spans="16:16" x14ac:dyDescent="0.35">
      <c r="P37" s="78"/>
    </row>
    <row r="38" spans="16:16" x14ac:dyDescent="0.35">
      <c r="P38" s="78"/>
    </row>
    <row r="39" spans="16:16" x14ac:dyDescent="0.35">
      <c r="P39" s="78"/>
    </row>
    <row r="40" spans="16:16" x14ac:dyDescent="0.35">
      <c r="P40" s="78"/>
    </row>
    <row r="41" spans="16:16" x14ac:dyDescent="0.35">
      <c r="P41" s="78"/>
    </row>
    <row r="42" spans="16:16" x14ac:dyDescent="0.35">
      <c r="P42" s="78"/>
    </row>
    <row r="43" spans="16:16" x14ac:dyDescent="0.35">
      <c r="P43" s="78"/>
    </row>
    <row r="44" spans="16:16" x14ac:dyDescent="0.35">
      <c r="P44" s="78"/>
    </row>
    <row r="45" spans="16:16" x14ac:dyDescent="0.35">
      <c r="P45" s="78"/>
    </row>
    <row r="46" spans="16:16" x14ac:dyDescent="0.35">
      <c r="P46" s="78"/>
    </row>
    <row r="47" spans="16:16" x14ac:dyDescent="0.35">
      <c r="P47" s="78"/>
    </row>
    <row r="48" spans="16:16" x14ac:dyDescent="0.35">
      <c r="P48" s="78"/>
    </row>
    <row r="49" spans="16:16" x14ac:dyDescent="0.35">
      <c r="P49" s="78"/>
    </row>
    <row r="50" spans="16:16" x14ac:dyDescent="0.35">
      <c r="P50" s="78"/>
    </row>
    <row r="51" spans="16:16" x14ac:dyDescent="0.35">
      <c r="P51" s="78"/>
    </row>
    <row r="52" spans="16:16" x14ac:dyDescent="0.35">
      <c r="P52" s="78"/>
    </row>
    <row r="53" spans="16:16" x14ac:dyDescent="0.35">
      <c r="P53" s="78"/>
    </row>
    <row r="54" spans="16:16" x14ac:dyDescent="0.35">
      <c r="P54" s="78"/>
    </row>
    <row r="55" spans="16:16" x14ac:dyDescent="0.35">
      <c r="P55" s="78"/>
    </row>
    <row r="56" spans="16:16" x14ac:dyDescent="0.35">
      <c r="P56" s="78"/>
    </row>
    <row r="57" spans="16:16" x14ac:dyDescent="0.35">
      <c r="P57" s="78"/>
    </row>
    <row r="58" spans="16:16" x14ac:dyDescent="0.35">
      <c r="P58" s="78"/>
    </row>
    <row r="59" spans="16:16" x14ac:dyDescent="0.35">
      <c r="P59" s="78"/>
    </row>
    <row r="60" spans="16:16" x14ac:dyDescent="0.35">
      <c r="P60" s="78"/>
    </row>
    <row r="61" spans="16:16" x14ac:dyDescent="0.35">
      <c r="P61" s="78"/>
    </row>
    <row r="62" spans="16:16" x14ac:dyDescent="0.35">
      <c r="P62" s="78"/>
    </row>
    <row r="63" spans="16:16" x14ac:dyDescent="0.35">
      <c r="P63" s="78"/>
    </row>
    <row r="64" spans="16:16" x14ac:dyDescent="0.35">
      <c r="P64" s="78"/>
    </row>
    <row r="65" spans="16:16" x14ac:dyDescent="0.35">
      <c r="P65" s="78"/>
    </row>
    <row r="66" spans="16:16" x14ac:dyDescent="0.35">
      <c r="P66" s="78"/>
    </row>
    <row r="67" spans="16:16" x14ac:dyDescent="0.35">
      <c r="P67" s="78"/>
    </row>
    <row r="68" spans="16:16" x14ac:dyDescent="0.35">
      <c r="P68" s="78"/>
    </row>
    <row r="69" spans="16:16" x14ac:dyDescent="0.35">
      <c r="P69" s="78"/>
    </row>
    <row r="70" spans="16:16" x14ac:dyDescent="0.35">
      <c r="P70" s="78"/>
    </row>
    <row r="71" spans="16:16" x14ac:dyDescent="0.35">
      <c r="P71" s="78"/>
    </row>
    <row r="72" spans="16:16" x14ac:dyDescent="0.35">
      <c r="P72" s="78"/>
    </row>
    <row r="73" spans="16:16" x14ac:dyDescent="0.35">
      <c r="P73" s="78"/>
    </row>
    <row r="74" spans="16:16" x14ac:dyDescent="0.35">
      <c r="P74" s="78"/>
    </row>
    <row r="75" spans="16:16" x14ac:dyDescent="0.35">
      <c r="P75" s="78"/>
    </row>
    <row r="76" spans="16:16" x14ac:dyDescent="0.35">
      <c r="P76" s="78"/>
    </row>
    <row r="77" spans="16:16" x14ac:dyDescent="0.35">
      <c r="P77" s="78"/>
    </row>
    <row r="78" spans="16:16" x14ac:dyDescent="0.35">
      <c r="P78" s="78"/>
    </row>
    <row r="79" spans="16:16" x14ac:dyDescent="0.35">
      <c r="P79" s="78"/>
    </row>
    <row r="80" spans="16:16" x14ac:dyDescent="0.35">
      <c r="P80" s="78"/>
    </row>
    <row r="81" spans="16:16" x14ac:dyDescent="0.35">
      <c r="P81" s="78"/>
    </row>
    <row r="82" spans="16:16" x14ac:dyDescent="0.35">
      <c r="P82" s="78"/>
    </row>
    <row r="83" spans="16:16" x14ac:dyDescent="0.35">
      <c r="P83" s="78"/>
    </row>
    <row r="84" spans="16:16" x14ac:dyDescent="0.35">
      <c r="P84" s="78"/>
    </row>
    <row r="85" spans="16:16" x14ac:dyDescent="0.35">
      <c r="P85" s="78"/>
    </row>
    <row r="86" spans="16:16" x14ac:dyDescent="0.35">
      <c r="P86" s="78"/>
    </row>
    <row r="87" spans="16:16" x14ac:dyDescent="0.35">
      <c r="P87" s="78"/>
    </row>
    <row r="88" spans="16:16" x14ac:dyDescent="0.35">
      <c r="P88" s="78"/>
    </row>
    <row r="89" spans="16:16" x14ac:dyDescent="0.35">
      <c r="P89" s="78"/>
    </row>
    <row r="90" spans="16:16" x14ac:dyDescent="0.35">
      <c r="P90" s="78"/>
    </row>
    <row r="91" spans="16:16" x14ac:dyDescent="0.35">
      <c r="P91" s="78"/>
    </row>
    <row r="92" spans="16:16" x14ac:dyDescent="0.35">
      <c r="P92" s="78"/>
    </row>
    <row r="93" spans="16:16" x14ac:dyDescent="0.35">
      <c r="P93" s="78"/>
    </row>
    <row r="94" spans="16:16" x14ac:dyDescent="0.35">
      <c r="P94" s="78"/>
    </row>
    <row r="95" spans="16:16" x14ac:dyDescent="0.35">
      <c r="P95" s="78"/>
    </row>
    <row r="96" spans="16:16" x14ac:dyDescent="0.35">
      <c r="P96" s="78"/>
    </row>
    <row r="97" spans="16:16" x14ac:dyDescent="0.35">
      <c r="P97" s="78"/>
    </row>
    <row r="98" spans="16:16" x14ac:dyDescent="0.35">
      <c r="P98" s="78"/>
    </row>
    <row r="99" spans="16:16" x14ac:dyDescent="0.35">
      <c r="P99" s="78"/>
    </row>
    <row r="100" spans="16:16" x14ac:dyDescent="0.35">
      <c r="P100" s="78"/>
    </row>
    <row r="101" spans="16:16" x14ac:dyDescent="0.35">
      <c r="P101" s="78"/>
    </row>
    <row r="102" spans="16:16" x14ac:dyDescent="0.35">
      <c r="P102" s="78"/>
    </row>
    <row r="103" spans="16:16" x14ac:dyDescent="0.35">
      <c r="P103" s="78"/>
    </row>
    <row r="104" spans="16:16" x14ac:dyDescent="0.35">
      <c r="P104" s="78"/>
    </row>
    <row r="105" spans="16:16" x14ac:dyDescent="0.35">
      <c r="P105" s="78"/>
    </row>
    <row r="106" spans="16:16" x14ac:dyDescent="0.35">
      <c r="P106" s="78"/>
    </row>
    <row r="107" spans="16:16" x14ac:dyDescent="0.35">
      <c r="P107" s="78"/>
    </row>
    <row r="108" spans="16:16" x14ac:dyDescent="0.35">
      <c r="P108" s="78"/>
    </row>
    <row r="109" spans="16:16" x14ac:dyDescent="0.35">
      <c r="P109" s="78"/>
    </row>
    <row r="110" spans="16:16" x14ac:dyDescent="0.35">
      <c r="P110" s="78"/>
    </row>
    <row r="111" spans="16:16" x14ac:dyDescent="0.35">
      <c r="P111" s="78"/>
    </row>
    <row r="112" spans="16:16" x14ac:dyDescent="0.35">
      <c r="P112" s="78"/>
    </row>
    <row r="113" spans="16:16" x14ac:dyDescent="0.35">
      <c r="P113" s="78"/>
    </row>
    <row r="114" spans="16:16" x14ac:dyDescent="0.35">
      <c r="P114" s="78"/>
    </row>
    <row r="115" spans="16:16" x14ac:dyDescent="0.35">
      <c r="P115" s="78"/>
    </row>
    <row r="116" spans="16:16" x14ac:dyDescent="0.35">
      <c r="P116" s="78"/>
    </row>
    <row r="117" spans="16:16" x14ac:dyDescent="0.35">
      <c r="P117" s="78"/>
    </row>
    <row r="118" spans="16:16" x14ac:dyDescent="0.35">
      <c r="P118" s="78"/>
    </row>
    <row r="119" spans="16:16" x14ac:dyDescent="0.35">
      <c r="P119" s="78"/>
    </row>
    <row r="120" spans="16:16" x14ac:dyDescent="0.35">
      <c r="P120" s="78"/>
    </row>
    <row r="121" spans="16:16" x14ac:dyDescent="0.35">
      <c r="P121" s="78"/>
    </row>
    <row r="122" spans="16:16" x14ac:dyDescent="0.35">
      <c r="P122" s="78"/>
    </row>
    <row r="123" spans="16:16" x14ac:dyDescent="0.35">
      <c r="P123" s="78"/>
    </row>
    <row r="124" spans="16:16" x14ac:dyDescent="0.35">
      <c r="P124" s="78"/>
    </row>
    <row r="125" spans="16:16" x14ac:dyDescent="0.35">
      <c r="P125" s="78"/>
    </row>
    <row r="126" spans="16:16" x14ac:dyDescent="0.35">
      <c r="P126" s="78"/>
    </row>
    <row r="127" spans="16:16" x14ac:dyDescent="0.35">
      <c r="P127" s="78"/>
    </row>
    <row r="128" spans="16:16" x14ac:dyDescent="0.35">
      <c r="P128" s="78"/>
    </row>
    <row r="129" spans="16:16" x14ac:dyDescent="0.35">
      <c r="P129" s="78"/>
    </row>
    <row r="130" spans="16:16" x14ac:dyDescent="0.35">
      <c r="P130" s="78"/>
    </row>
    <row r="131" spans="16:16" x14ac:dyDescent="0.35">
      <c r="P131" s="78"/>
    </row>
    <row r="132" spans="16:16" x14ac:dyDescent="0.35">
      <c r="P132" s="78"/>
    </row>
    <row r="133" spans="16:16" x14ac:dyDescent="0.35">
      <c r="P133" s="78"/>
    </row>
    <row r="134" spans="16:16" x14ac:dyDescent="0.35">
      <c r="P134" s="78"/>
    </row>
    <row r="135" spans="16:16" x14ac:dyDescent="0.35">
      <c r="P135" s="78"/>
    </row>
  </sheetData>
  <autoFilter ref="P6:P24" xr:uid="{00000000-0001-0000-0500-000000000000}"/>
  <conditionalFormatting sqref="E12">
    <cfRule type="cellIs" dxfId="248" priority="20" operator="between">
      <formula>2.75</formula>
      <formula>3</formula>
    </cfRule>
    <cfRule type="cellIs" dxfId="247" priority="21" operator="between">
      <formula>1.75</formula>
      <formula>2.75</formula>
    </cfRule>
    <cfRule type="cellIs" dxfId="246" priority="22" operator="equal">
      <formula>0</formula>
    </cfRule>
  </conditionalFormatting>
  <conditionalFormatting sqref="E15">
    <cfRule type="cellIs" dxfId="245" priority="17" operator="between">
      <formula>2.75</formula>
      <formula>3</formula>
    </cfRule>
    <cfRule type="cellIs" dxfId="244" priority="18" operator="between">
      <formula>1.75</formula>
      <formula>2.75</formula>
    </cfRule>
    <cfRule type="cellIs" dxfId="243" priority="19" operator="equal">
      <formula>0</formula>
    </cfRule>
  </conditionalFormatting>
  <conditionalFormatting sqref="E18">
    <cfRule type="cellIs" dxfId="242" priority="14" operator="between">
      <formula>2.75</formula>
      <formula>3</formula>
    </cfRule>
    <cfRule type="cellIs" dxfId="241" priority="15" operator="between">
      <formula>1.75</formula>
      <formula>2.75</formula>
    </cfRule>
    <cfRule type="cellIs" dxfId="240" priority="16" operator="equal">
      <formula>0</formula>
    </cfRule>
  </conditionalFormatting>
  <conditionalFormatting sqref="E21">
    <cfRule type="cellIs" dxfId="239" priority="11" operator="between">
      <formula>2.75</formula>
      <formula>3</formula>
    </cfRule>
    <cfRule type="cellIs" dxfId="238" priority="12" operator="between">
      <formula>1.75</formula>
      <formula>2.75</formula>
    </cfRule>
    <cfRule type="cellIs" dxfId="237" priority="13" operator="equal">
      <formula>0</formula>
    </cfRule>
  </conditionalFormatting>
  <conditionalFormatting sqref="E24">
    <cfRule type="cellIs" dxfId="236" priority="8" operator="between">
      <formula>2.75</formula>
      <formula>3</formula>
    </cfRule>
    <cfRule type="cellIs" dxfId="235" priority="9" operator="between">
      <formula>1.75</formula>
      <formula>2.75</formula>
    </cfRule>
    <cfRule type="cellIs" dxfId="234" priority="10" operator="equal">
      <formula>0</formula>
    </cfRule>
  </conditionalFormatting>
  <conditionalFormatting sqref="F7:I7">
    <cfRule type="cellIs" dxfId="233" priority="1" operator="equal">
      <formula>3</formula>
    </cfRule>
    <cfRule type="cellIs" dxfId="232" priority="2" operator="between">
      <formula>2</formula>
      <formula>3</formula>
    </cfRule>
    <cfRule type="cellIs" dxfId="231" priority="3" operator="between">
      <formula>0</formula>
      <formula>2</formula>
    </cfRule>
  </conditionalFormatting>
  <conditionalFormatting sqref="K1:K4">
    <cfRule type="cellIs" dxfId="230" priority="23" stopIfTrue="1" operator="between">
      <formula>2.75</formula>
      <formula>3</formula>
    </cfRule>
    <cfRule type="cellIs" dxfId="229" priority="24" stopIfTrue="1" operator="between">
      <formula>1.5</formula>
      <formula>2.75</formula>
    </cfRule>
    <cfRule type="cellIs" dxfId="228" priority="25" stopIfTrue="1" operator="between">
      <formula>0</formula>
      <formula>1.5</formula>
    </cfRule>
  </conditionalFormatting>
  <dataValidations count="1">
    <dataValidation type="list" allowBlank="1" showInputMessage="1" showErrorMessage="1" sqref="D12 D15 D18 D21 D24" xr:uid="{00000000-0002-0000-0500-000000000000}">
      <formula1>Rating</formula1>
    </dataValidation>
  </dataValidations>
  <pageMargins left="0.7" right="0.7" top="0.75" bottom="0.75" header="0.3" footer="0.3"/>
  <pageSetup paperSize="9" orientation="portrait" r:id="rId1"/>
  <customProperties>
    <customPr name="_pios_id" r:id="rId2"/>
  </customProperties>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Q134"/>
  <sheetViews>
    <sheetView workbookViewId="0">
      <pane ySplit="7" topLeftCell="A8" activePane="bottomLeft" state="frozen"/>
      <selection pane="bottomLeft" activeCell="Q7" sqref="Q7:Q29"/>
    </sheetView>
  </sheetViews>
  <sheetFormatPr defaultColWidth="8.6328125" defaultRowHeight="14.5" x14ac:dyDescent="0.35"/>
  <cols>
    <col min="3" max="3" width="50.453125" customWidth="1"/>
    <col min="4" max="4" width="41.453125" customWidth="1"/>
    <col min="11" max="11" width="10.36328125" customWidth="1"/>
    <col min="14" max="14" width="11.453125" customWidth="1"/>
  </cols>
  <sheetData>
    <row r="1" spans="1:17" x14ac:dyDescent="0.35">
      <c r="A1" s="1" t="s">
        <v>7</v>
      </c>
      <c r="F1" s="4"/>
      <c r="G1" s="4"/>
      <c r="H1" s="4"/>
      <c r="I1" s="4"/>
      <c r="J1" s="9" t="s">
        <v>88</v>
      </c>
      <c r="K1" s="9">
        <v>3</v>
      </c>
      <c r="L1" t="s">
        <v>301</v>
      </c>
      <c r="M1" s="2"/>
      <c r="N1" s="2"/>
      <c r="O1" s="2"/>
      <c r="P1" s="2"/>
    </row>
    <row r="2" spans="1:17" x14ac:dyDescent="0.35">
      <c r="A2" s="2" t="s">
        <v>8</v>
      </c>
      <c r="F2" s="16" t="s">
        <v>302</v>
      </c>
      <c r="G2" s="4"/>
      <c r="H2" s="4"/>
      <c r="I2" s="4"/>
      <c r="K2" s="9">
        <v>2</v>
      </c>
      <c r="L2" t="s">
        <v>303</v>
      </c>
      <c r="M2" s="2"/>
      <c r="N2" s="2"/>
      <c r="O2" s="2"/>
      <c r="P2" s="2"/>
    </row>
    <row r="3" spans="1:17" x14ac:dyDescent="0.35">
      <c r="A3" s="2" t="s">
        <v>9</v>
      </c>
      <c r="F3" t="s">
        <v>304</v>
      </c>
      <c r="G3" s="4"/>
      <c r="H3" s="4"/>
      <c r="I3" s="4"/>
      <c r="K3" s="9">
        <v>0</v>
      </c>
      <c r="L3" t="s">
        <v>305</v>
      </c>
      <c r="M3" s="2"/>
      <c r="N3" s="2"/>
      <c r="O3" s="2"/>
      <c r="P3" s="2"/>
    </row>
    <row r="4" spans="1:17" x14ac:dyDescent="0.35">
      <c r="A4" s="2" t="s">
        <v>10</v>
      </c>
      <c r="B4" s="2"/>
      <c r="C4" s="2" t="s">
        <v>11</v>
      </c>
      <c r="F4" s="4"/>
      <c r="G4" s="4"/>
      <c r="H4" s="4"/>
      <c r="I4" s="4"/>
      <c r="K4" s="9" t="s">
        <v>306</v>
      </c>
      <c r="L4" t="s">
        <v>307</v>
      </c>
      <c r="M4" s="2"/>
      <c r="N4" s="2"/>
      <c r="O4" s="2"/>
      <c r="P4" s="2"/>
    </row>
    <row r="5" spans="1:17" x14ac:dyDescent="0.35">
      <c r="F5" s="4"/>
      <c r="G5" s="4"/>
      <c r="H5" s="4"/>
      <c r="I5" s="4"/>
      <c r="J5" s="3"/>
      <c r="K5" s="17" t="s">
        <v>32</v>
      </c>
      <c r="L5" s="2"/>
      <c r="M5" s="2"/>
      <c r="N5" s="2"/>
      <c r="O5" s="2"/>
      <c r="P5">
        <v>0</v>
      </c>
    </row>
    <row r="6" spans="1:17" ht="43.5" x14ac:dyDescent="0.35">
      <c r="A6" s="31"/>
      <c r="B6" s="31"/>
      <c r="C6" s="31"/>
      <c r="D6" s="31"/>
      <c r="E6" s="31"/>
      <c r="F6" s="40" t="s">
        <v>23</v>
      </c>
      <c r="G6" s="40" t="s">
        <v>26</v>
      </c>
      <c r="H6" s="40" t="s">
        <v>28</v>
      </c>
      <c r="I6" s="40" t="s">
        <v>30</v>
      </c>
      <c r="J6" s="43" t="s">
        <v>94</v>
      </c>
      <c r="K6" s="61" t="s">
        <v>182</v>
      </c>
      <c r="L6" s="60" t="s">
        <v>308</v>
      </c>
      <c r="M6" s="60" t="s">
        <v>309</v>
      </c>
      <c r="N6" s="60" t="s">
        <v>310</v>
      </c>
      <c r="O6" s="60" t="s">
        <v>311</v>
      </c>
      <c r="P6" s="77" t="s">
        <v>420</v>
      </c>
      <c r="Q6" s="63" t="s">
        <v>313</v>
      </c>
    </row>
    <row r="7" spans="1:17" x14ac:dyDescent="0.35">
      <c r="A7" s="1" t="s">
        <v>48</v>
      </c>
      <c r="B7" s="2"/>
      <c r="F7" s="42" t="str">
        <f>IFERROR(AVERAGE(E11,E14,E26),"n/a")</f>
        <v>n/a</v>
      </c>
      <c r="G7" s="42" t="str">
        <f>IFERROR(AVERAGE(E11,E14,E17,E26),"n/a")</f>
        <v>n/a</v>
      </c>
      <c r="H7" s="42" t="str">
        <f>IFERROR(AVERAGE(E11,E14,E17,E20,E23,E26),"n/a")</f>
        <v>n/a</v>
      </c>
      <c r="I7" s="42" t="str">
        <f>IFERROR(AVERAGE(E11,E14,E17,E20,E23,E26),"n/a")</f>
        <v>n/a</v>
      </c>
      <c r="P7" s="78" t="s">
        <v>315</v>
      </c>
      <c r="Q7" s="78" t="s">
        <v>315</v>
      </c>
    </row>
    <row r="8" spans="1:17" ht="87" x14ac:dyDescent="0.35">
      <c r="A8" s="1"/>
      <c r="B8" s="18"/>
      <c r="C8" s="18" t="s">
        <v>697</v>
      </c>
      <c r="D8" s="20" t="s">
        <v>317</v>
      </c>
      <c r="P8" s="78" t="s">
        <v>315</v>
      </c>
      <c r="Q8" s="78" t="s">
        <v>315</v>
      </c>
    </row>
    <row r="9" spans="1:17" hidden="1" x14ac:dyDescent="0.35">
      <c r="A9" s="30" t="s">
        <v>318</v>
      </c>
      <c r="B9" s="23" t="s">
        <v>208</v>
      </c>
      <c r="C9" s="37" t="s">
        <v>698</v>
      </c>
      <c r="D9" s="56" t="s">
        <v>321</v>
      </c>
      <c r="P9" s="78" t="str">
        <f>IF(COUNTA(K10:O10)=0,"No","Yes")</f>
        <v>No</v>
      </c>
      <c r="Q9" s="78" t="s">
        <v>315</v>
      </c>
    </row>
    <row r="10" spans="1:17" ht="58" hidden="1" x14ac:dyDescent="0.35">
      <c r="B10" s="2"/>
      <c r="C10" s="36" t="s">
        <v>699</v>
      </c>
      <c r="D10" s="19"/>
      <c r="P10" s="78" t="str">
        <f>IF(COUNTA(K10:O10)=0,"No","Yes")</f>
        <v>No</v>
      </c>
      <c r="Q10" s="78" t="s">
        <v>315</v>
      </c>
    </row>
    <row r="11" spans="1:17" ht="15" hidden="1" thickBot="1" x14ac:dyDescent="0.4">
      <c r="A11" s="29"/>
      <c r="B11" s="22"/>
      <c r="C11" s="26" t="s">
        <v>304</v>
      </c>
      <c r="D11" s="57"/>
      <c r="E11" s="29" t="str">
        <f>IF(D11=FR5_RDF!$L$1,FR5_RDF!$K$1,(IF(D11=FR5_RDF!$L$2,FR5_RDF!$K$2,(IF(D11=FR5_RDF!$L$3,FR5_RDF!$K$3,(IF(D11=FR5_RDF!$L$4,FR5_RDF!$K$4,FR5_RDF!$K$5)))))))</f>
        <v/>
      </c>
      <c r="F11">
        <v>1</v>
      </c>
      <c r="G11">
        <v>2</v>
      </c>
      <c r="H11">
        <v>3</v>
      </c>
      <c r="I11">
        <v>4</v>
      </c>
      <c r="J11">
        <f>MIN(F11:I11)</f>
        <v>1</v>
      </c>
      <c r="P11" s="78" t="str">
        <f>IF(COUNTA(K10:O10)=0,"No","Yes")</f>
        <v>No</v>
      </c>
      <c r="Q11" s="78" t="s">
        <v>315</v>
      </c>
    </row>
    <row r="12" spans="1:17" hidden="1" x14ac:dyDescent="0.35">
      <c r="A12" t="s">
        <v>373</v>
      </c>
      <c r="B12" s="25" t="s">
        <v>209</v>
      </c>
      <c r="C12" s="25" t="s">
        <v>700</v>
      </c>
      <c r="D12" s="5" t="s">
        <v>321</v>
      </c>
      <c r="P12" s="78" t="str">
        <f>IF(COUNTA(K13:O13)=0,"No","Yes")</f>
        <v>No</v>
      </c>
      <c r="Q12" s="78" t="s">
        <v>315</v>
      </c>
    </row>
    <row r="13" spans="1:17" ht="58" hidden="1" x14ac:dyDescent="0.35">
      <c r="B13" s="2"/>
      <c r="C13" s="24" t="s">
        <v>701</v>
      </c>
      <c r="D13" s="19"/>
      <c r="P13" s="78" t="str">
        <f>IF(COUNTA(K13:O13)=0,"No","Yes")</f>
        <v>No</v>
      </c>
      <c r="Q13" s="78" t="s">
        <v>315</v>
      </c>
    </row>
    <row r="14" spans="1:17" ht="15" hidden="1" thickBot="1" x14ac:dyDescent="0.4">
      <c r="A14" s="29"/>
      <c r="B14" s="22"/>
      <c r="C14" s="26" t="s">
        <v>304</v>
      </c>
      <c r="D14" s="57"/>
      <c r="E14" s="29" t="str">
        <f>IF(D14=FR5_RDF!$L$1,FR5_RDF!$K$1,(IF(D14=FR5_RDF!$L$2,FR5_RDF!$K$2,(IF(D14=FR5_RDF!$L$3,FR5_RDF!$K$3,(IF(D14=FR5_RDF!$L$4,FR5_RDF!$K$4,FR5_RDF!$K$5)))))))</f>
        <v/>
      </c>
      <c r="F14">
        <v>1</v>
      </c>
      <c r="G14">
        <v>2</v>
      </c>
      <c r="H14">
        <v>3</v>
      </c>
      <c r="I14">
        <v>4</v>
      </c>
      <c r="J14">
        <f>MIN(F14:I14)</f>
        <v>1</v>
      </c>
      <c r="P14" s="78" t="str">
        <f>IF(COUNTA(K13:O13)=0,"No","Yes")</f>
        <v>No</v>
      </c>
      <c r="Q14" s="78" t="s">
        <v>315</v>
      </c>
    </row>
    <row r="15" spans="1:17" hidden="1" x14ac:dyDescent="0.35">
      <c r="A15" t="s">
        <v>378</v>
      </c>
      <c r="B15" s="25" t="s">
        <v>702</v>
      </c>
      <c r="C15" s="25" t="s">
        <v>703</v>
      </c>
      <c r="D15" s="5" t="s">
        <v>321</v>
      </c>
      <c r="P15" s="78" t="str">
        <f>IF(COUNTA(K16:O16)=0,"No","Yes")</f>
        <v>No</v>
      </c>
      <c r="Q15" s="78" t="s">
        <v>315</v>
      </c>
    </row>
    <row r="16" spans="1:17" ht="43.5" hidden="1" x14ac:dyDescent="0.35">
      <c r="B16" s="2"/>
      <c r="C16" s="24" t="s">
        <v>704</v>
      </c>
      <c r="D16" s="19"/>
      <c r="P16" s="78" t="str">
        <f>IF(COUNTA(K16:O16)=0,"No","Yes")</f>
        <v>No</v>
      </c>
      <c r="Q16" s="78" t="s">
        <v>315</v>
      </c>
    </row>
    <row r="17" spans="1:17" ht="15" hidden="1" thickBot="1" x14ac:dyDescent="0.4">
      <c r="A17" s="29"/>
      <c r="B17" s="22"/>
      <c r="C17" s="26" t="s">
        <v>304</v>
      </c>
      <c r="D17" s="57"/>
      <c r="E17" s="29" t="str">
        <f>IF(D17=FR5_RDF!$L$1,FR5_RDF!$K$1,(IF(D17=FR5_RDF!$L$2,FR5_RDF!$K$2,(IF(D17=FR5_RDF!$L$3,FR5_RDF!$K$3,(IF(D17=FR5_RDF!$L$4,FR5_RDF!$K$4,FR5_RDF!$K$5)))))))</f>
        <v/>
      </c>
      <c r="G17">
        <v>2</v>
      </c>
      <c r="H17">
        <v>3</v>
      </c>
      <c r="I17">
        <v>4</v>
      </c>
      <c r="J17">
        <f>MIN(F17:I17)</f>
        <v>2</v>
      </c>
      <c r="P17" s="78" t="str">
        <f>IF(COUNTA(K16:O16)=0,"No","Yes")</f>
        <v>No</v>
      </c>
      <c r="Q17" s="78" t="s">
        <v>315</v>
      </c>
    </row>
    <row r="18" spans="1:17" hidden="1" x14ac:dyDescent="0.35">
      <c r="A18" t="s">
        <v>378</v>
      </c>
      <c r="B18" s="25" t="s">
        <v>705</v>
      </c>
      <c r="C18" s="25" t="s">
        <v>706</v>
      </c>
      <c r="D18" s="5" t="s">
        <v>321</v>
      </c>
      <c r="P18" s="78" t="str">
        <f>IF(COUNTA(K19:O19)=0,"No","Yes")</f>
        <v>No</v>
      </c>
      <c r="Q18" s="78" t="s">
        <v>315</v>
      </c>
    </row>
    <row r="19" spans="1:17" ht="116" hidden="1" x14ac:dyDescent="0.35">
      <c r="B19" s="2"/>
      <c r="C19" s="24" t="s">
        <v>707</v>
      </c>
      <c r="D19" s="19"/>
      <c r="P19" s="78" t="str">
        <f>IF(COUNTA(K19:O19)=0,"No","Yes")</f>
        <v>No</v>
      </c>
      <c r="Q19" s="78" t="s">
        <v>315</v>
      </c>
    </row>
    <row r="20" spans="1:17" ht="15" hidden="1" thickBot="1" x14ac:dyDescent="0.4">
      <c r="A20" s="29"/>
      <c r="B20" s="22"/>
      <c r="C20" s="26" t="s">
        <v>304</v>
      </c>
      <c r="D20" s="57"/>
      <c r="E20" s="29" t="str">
        <f>IF(D20=FR5_RDF!$L$1,FR5_RDF!$K$1,(IF(D20=FR5_RDF!$L$2,FR5_RDF!$K$2,(IF(D20=FR5_RDF!$L$3,FR5_RDF!$K$3,(IF(D20=FR5_RDF!$L$4,FR5_RDF!$K$4,FR5_RDF!$K$5)))))))</f>
        <v/>
      </c>
      <c r="H20">
        <v>3</v>
      </c>
      <c r="I20">
        <v>4</v>
      </c>
      <c r="J20">
        <f>MIN(F20:I20)</f>
        <v>3</v>
      </c>
      <c r="P20" s="78" t="str">
        <f>IF(COUNTA(K19:O19)=0,"No","Yes")</f>
        <v>No</v>
      </c>
      <c r="Q20" s="78" t="s">
        <v>315</v>
      </c>
    </row>
    <row r="21" spans="1:17" hidden="1" x14ac:dyDescent="0.35">
      <c r="A21" t="s">
        <v>378</v>
      </c>
      <c r="B21" s="25" t="s">
        <v>708</v>
      </c>
      <c r="C21" s="25" t="s">
        <v>709</v>
      </c>
      <c r="D21" s="5" t="s">
        <v>321</v>
      </c>
      <c r="P21" s="78" t="str">
        <f>IF(COUNTA(K22:O22)=0,"No","Yes")</f>
        <v>No</v>
      </c>
      <c r="Q21" s="78" t="s">
        <v>315</v>
      </c>
    </row>
    <row r="22" spans="1:17" ht="130.5" hidden="1" x14ac:dyDescent="0.35">
      <c r="B22" s="2"/>
      <c r="C22" s="24" t="s">
        <v>710</v>
      </c>
      <c r="D22" s="19"/>
      <c r="P22" s="78" t="str">
        <f>IF(COUNTA(K22:O22)=0,"No","Yes")</f>
        <v>No</v>
      </c>
      <c r="Q22" s="78" t="s">
        <v>315</v>
      </c>
    </row>
    <row r="23" spans="1:17" ht="15" hidden="1" thickBot="1" x14ac:dyDescent="0.4">
      <c r="A23" s="29"/>
      <c r="B23" s="22"/>
      <c r="C23" s="26" t="s">
        <v>304</v>
      </c>
      <c r="D23" s="57"/>
      <c r="E23" s="29" t="str">
        <f>IF(D23=FR5_RDF!$L$1,FR5_RDF!$K$1,(IF(D23=FR5_RDF!$L$2,FR5_RDF!$K$2,(IF(D23=FR5_RDF!$L$3,FR5_RDF!$K$3,(IF(D23=FR5_RDF!$L$4,FR5_RDF!$K$4,FR5_RDF!$K$5)))))))</f>
        <v/>
      </c>
      <c r="H23">
        <v>3</v>
      </c>
      <c r="I23">
        <v>4</v>
      </c>
      <c r="J23">
        <f>MIN(F23:I23)</f>
        <v>3</v>
      </c>
      <c r="P23" s="78" t="str">
        <f>IF(COUNTA(K22:O22)=0,"No","Yes")</f>
        <v>No</v>
      </c>
      <c r="Q23" s="78" t="s">
        <v>315</v>
      </c>
    </row>
    <row r="24" spans="1:17" hidden="1" x14ac:dyDescent="0.35">
      <c r="A24" t="s">
        <v>373</v>
      </c>
      <c r="B24" s="25" t="s">
        <v>210</v>
      </c>
      <c r="C24" s="25" t="s">
        <v>711</v>
      </c>
      <c r="D24" s="5" t="s">
        <v>321</v>
      </c>
      <c r="P24" s="78" t="str">
        <f>IF(COUNTA(K25:O25)=0,"No","Yes")</f>
        <v>No</v>
      </c>
      <c r="Q24" s="78" t="s">
        <v>315</v>
      </c>
    </row>
    <row r="25" spans="1:17" ht="59.25" hidden="1" customHeight="1" x14ac:dyDescent="0.35">
      <c r="B25" s="2"/>
      <c r="C25" s="24" t="s">
        <v>712</v>
      </c>
      <c r="D25" s="19"/>
      <c r="P25" s="78" t="str">
        <f>IF(COUNTA(K25:O25)=0,"No","Yes")</f>
        <v>No</v>
      </c>
      <c r="Q25" s="78" t="s">
        <v>315</v>
      </c>
    </row>
    <row r="26" spans="1:17" ht="15" hidden="1" thickBot="1" x14ac:dyDescent="0.4">
      <c r="A26" s="29"/>
      <c r="B26" s="22"/>
      <c r="C26" s="26" t="s">
        <v>304</v>
      </c>
      <c r="D26" s="57"/>
      <c r="E26" s="29" t="str">
        <f>IF(D26=FR5_RDF!$L$1,FR5_RDF!$K$1,(IF(D26=FR5_RDF!$L$2,FR5_RDF!$K$2,(IF(D26=FR5_RDF!$L$3,FR5_RDF!$K$3,(IF(D26=FR5_RDF!$L$4,FR5_RDF!$K$4,FR5_RDF!$K$5)))))))</f>
        <v/>
      </c>
      <c r="F26">
        <v>1</v>
      </c>
      <c r="G26">
        <v>2</v>
      </c>
      <c r="H26">
        <v>3</v>
      </c>
      <c r="I26">
        <v>4</v>
      </c>
      <c r="J26">
        <f>MIN(F26:I26)</f>
        <v>1</v>
      </c>
      <c r="P26" s="78" t="str">
        <f>IF(COUNTA(K25:O25)=0,"No","Yes")</f>
        <v>No</v>
      </c>
      <c r="Q26" s="78" t="s">
        <v>315</v>
      </c>
    </row>
    <row r="27" spans="1:17" hidden="1" x14ac:dyDescent="0.35">
      <c r="A27" t="s">
        <v>318</v>
      </c>
      <c r="B27" s="25" t="s">
        <v>211</v>
      </c>
      <c r="C27" s="25" t="s">
        <v>713</v>
      </c>
      <c r="D27" s="5"/>
      <c r="P27" s="78" t="str">
        <f>IF(COUNTA(K28:O28)=0,"No","Yes")</f>
        <v>No</v>
      </c>
      <c r="Q27" s="78" t="s">
        <v>315</v>
      </c>
    </row>
    <row r="28" spans="1:17" ht="29" hidden="1" x14ac:dyDescent="0.35">
      <c r="C28" s="24" t="s">
        <v>714</v>
      </c>
      <c r="D28" s="5"/>
      <c r="P28" s="78" t="str">
        <f>IF(COUNTA(K28:O28)=0,"No","Yes")</f>
        <v>No</v>
      </c>
      <c r="Q28" s="78" t="s">
        <v>315</v>
      </c>
    </row>
    <row r="29" spans="1:17" hidden="1" x14ac:dyDescent="0.35">
      <c r="C29" s="25" t="s">
        <v>445</v>
      </c>
      <c r="D29" s="5"/>
      <c r="E29" t="str">
        <f>IF(D29=FR5_RDF!$L$1,FR5_RDF!$K$1,(IF(D29=FR5_RDF!$L$2,FR5_RDF!$K$2,(IF(D29=FR5_RDF!$L$3,FR5_RDF!$K$3,(IF(D29=FR5_RDF!$L$4,FR5_RDF!$K$4,FR5_RDF!$K$5)))))))</f>
        <v/>
      </c>
      <c r="J29">
        <f>MIN(F29:I29)</f>
        <v>0</v>
      </c>
      <c r="P29" s="78" t="str">
        <f>IF(COUNTA(K28:O28)=0,"No","Yes")</f>
        <v>No</v>
      </c>
      <c r="Q29" s="78" t="s">
        <v>315</v>
      </c>
    </row>
    <row r="30" spans="1:17" x14ac:dyDescent="0.35">
      <c r="P30" s="78"/>
    </row>
    <row r="31" spans="1:17" x14ac:dyDescent="0.35">
      <c r="P31" s="78"/>
    </row>
    <row r="32" spans="1:17" x14ac:dyDescent="0.35">
      <c r="P32" s="78"/>
    </row>
    <row r="33" spans="16:16" x14ac:dyDescent="0.35">
      <c r="P33" s="78"/>
    </row>
    <row r="34" spans="16:16" x14ac:dyDescent="0.35">
      <c r="P34" s="78"/>
    </row>
    <row r="35" spans="16:16" x14ac:dyDescent="0.35">
      <c r="P35" s="78"/>
    </row>
    <row r="36" spans="16:16" x14ac:dyDescent="0.35">
      <c r="P36" s="78"/>
    </row>
    <row r="37" spans="16:16" x14ac:dyDescent="0.35">
      <c r="P37" s="78"/>
    </row>
    <row r="38" spans="16:16" x14ac:dyDescent="0.35">
      <c r="P38" s="78"/>
    </row>
    <row r="39" spans="16:16" x14ac:dyDescent="0.35">
      <c r="P39" s="78"/>
    </row>
    <row r="40" spans="16:16" x14ac:dyDescent="0.35">
      <c r="P40" s="78"/>
    </row>
    <row r="41" spans="16:16" x14ac:dyDescent="0.35">
      <c r="P41" s="78"/>
    </row>
    <row r="42" spans="16:16" x14ac:dyDescent="0.35">
      <c r="P42" s="78"/>
    </row>
    <row r="43" spans="16:16" x14ac:dyDescent="0.35">
      <c r="P43" s="78"/>
    </row>
    <row r="44" spans="16:16" x14ac:dyDescent="0.35">
      <c r="P44" s="78"/>
    </row>
    <row r="45" spans="16:16" x14ac:dyDescent="0.35">
      <c r="P45" s="78"/>
    </row>
    <row r="46" spans="16:16" x14ac:dyDescent="0.35">
      <c r="P46" s="78"/>
    </row>
    <row r="47" spans="16:16" x14ac:dyDescent="0.35">
      <c r="P47" s="78"/>
    </row>
    <row r="48" spans="16:16" x14ac:dyDescent="0.35">
      <c r="P48" s="78"/>
    </row>
    <row r="49" spans="16:16" x14ac:dyDescent="0.35">
      <c r="P49" s="78"/>
    </row>
    <row r="50" spans="16:16" x14ac:dyDescent="0.35">
      <c r="P50" s="78"/>
    </row>
    <row r="51" spans="16:16" x14ac:dyDescent="0.35">
      <c r="P51" s="78"/>
    </row>
    <row r="52" spans="16:16" x14ac:dyDescent="0.35">
      <c r="P52" s="78"/>
    </row>
    <row r="53" spans="16:16" x14ac:dyDescent="0.35">
      <c r="P53" s="78"/>
    </row>
    <row r="54" spans="16:16" x14ac:dyDescent="0.35">
      <c r="P54" s="78"/>
    </row>
    <row r="55" spans="16:16" x14ac:dyDescent="0.35">
      <c r="P55" s="78"/>
    </row>
    <row r="56" spans="16:16" x14ac:dyDescent="0.35">
      <c r="P56" s="78"/>
    </row>
    <row r="57" spans="16:16" x14ac:dyDescent="0.35">
      <c r="P57" s="78"/>
    </row>
    <row r="58" spans="16:16" x14ac:dyDescent="0.35">
      <c r="P58" s="78"/>
    </row>
    <row r="59" spans="16:16" x14ac:dyDescent="0.35">
      <c r="P59" s="78"/>
    </row>
    <row r="60" spans="16:16" x14ac:dyDescent="0.35">
      <c r="P60" s="78"/>
    </row>
    <row r="61" spans="16:16" x14ac:dyDescent="0.35">
      <c r="P61" s="78"/>
    </row>
    <row r="62" spans="16:16" x14ac:dyDescent="0.35">
      <c r="P62" s="78"/>
    </row>
    <row r="63" spans="16:16" x14ac:dyDescent="0.35">
      <c r="P63" s="78"/>
    </row>
    <row r="64" spans="16:16" x14ac:dyDescent="0.35">
      <c r="P64" s="78"/>
    </row>
    <row r="65" spans="16:16" x14ac:dyDescent="0.35">
      <c r="P65" s="78"/>
    </row>
    <row r="66" spans="16:16" x14ac:dyDescent="0.35">
      <c r="P66" s="78"/>
    </row>
    <row r="67" spans="16:16" x14ac:dyDescent="0.35">
      <c r="P67" s="78"/>
    </row>
    <row r="68" spans="16:16" x14ac:dyDescent="0.35">
      <c r="P68" s="78"/>
    </row>
    <row r="69" spans="16:16" x14ac:dyDescent="0.35">
      <c r="P69" s="78"/>
    </row>
    <row r="70" spans="16:16" x14ac:dyDescent="0.35">
      <c r="P70" s="78"/>
    </row>
    <row r="71" spans="16:16" x14ac:dyDescent="0.35">
      <c r="P71" s="78"/>
    </row>
    <row r="72" spans="16:16" x14ac:dyDescent="0.35">
      <c r="P72" s="78"/>
    </row>
    <row r="73" spans="16:16" x14ac:dyDescent="0.35">
      <c r="P73" s="78"/>
    </row>
    <row r="74" spans="16:16" x14ac:dyDescent="0.35">
      <c r="P74" s="78"/>
    </row>
    <row r="75" spans="16:16" x14ac:dyDescent="0.35">
      <c r="P75" s="78"/>
    </row>
    <row r="76" spans="16:16" x14ac:dyDescent="0.35">
      <c r="P76" s="78"/>
    </row>
    <row r="77" spans="16:16" x14ac:dyDescent="0.35">
      <c r="P77" s="78"/>
    </row>
    <row r="78" spans="16:16" x14ac:dyDescent="0.35">
      <c r="P78" s="78"/>
    </row>
    <row r="79" spans="16:16" x14ac:dyDescent="0.35">
      <c r="P79" s="78"/>
    </row>
    <row r="80" spans="16:16" x14ac:dyDescent="0.35">
      <c r="P80" s="78"/>
    </row>
    <row r="81" spans="16:16" x14ac:dyDescent="0.35">
      <c r="P81" s="78"/>
    </row>
    <row r="82" spans="16:16" x14ac:dyDescent="0.35">
      <c r="P82" s="78"/>
    </row>
    <row r="83" spans="16:16" x14ac:dyDescent="0.35">
      <c r="P83" s="78"/>
    </row>
    <row r="84" spans="16:16" x14ac:dyDescent="0.35">
      <c r="P84" s="78"/>
    </row>
    <row r="85" spans="16:16" x14ac:dyDescent="0.35">
      <c r="P85" s="78"/>
    </row>
    <row r="86" spans="16:16" x14ac:dyDescent="0.35">
      <c r="P86" s="78"/>
    </row>
    <row r="87" spans="16:16" x14ac:dyDescent="0.35">
      <c r="P87" s="78"/>
    </row>
    <row r="88" spans="16:16" x14ac:dyDescent="0.35">
      <c r="P88" s="78"/>
    </row>
    <row r="89" spans="16:16" x14ac:dyDescent="0.35">
      <c r="P89" s="78"/>
    </row>
    <row r="90" spans="16:16" x14ac:dyDescent="0.35">
      <c r="P90" s="78"/>
    </row>
    <row r="91" spans="16:16" x14ac:dyDescent="0.35">
      <c r="P91" s="78"/>
    </row>
    <row r="92" spans="16:16" x14ac:dyDescent="0.35">
      <c r="P92" s="78"/>
    </row>
    <row r="93" spans="16:16" x14ac:dyDescent="0.35">
      <c r="P93" s="78"/>
    </row>
    <row r="94" spans="16:16" x14ac:dyDescent="0.35">
      <c r="P94" s="78"/>
    </row>
    <row r="95" spans="16:16" x14ac:dyDescent="0.35">
      <c r="P95" s="78"/>
    </row>
    <row r="96" spans="16:16" x14ac:dyDescent="0.35">
      <c r="P96" s="78"/>
    </row>
    <row r="97" spans="16:16" x14ac:dyDescent="0.35">
      <c r="P97" s="78"/>
    </row>
    <row r="98" spans="16:16" x14ac:dyDescent="0.35">
      <c r="P98" s="78"/>
    </row>
    <row r="99" spans="16:16" x14ac:dyDescent="0.35">
      <c r="P99" s="78"/>
    </row>
    <row r="100" spans="16:16" x14ac:dyDescent="0.35">
      <c r="P100" s="78"/>
    </row>
    <row r="101" spans="16:16" x14ac:dyDescent="0.35">
      <c r="P101" s="78"/>
    </row>
    <row r="102" spans="16:16" x14ac:dyDescent="0.35">
      <c r="P102" s="78"/>
    </row>
    <row r="103" spans="16:16" x14ac:dyDescent="0.35">
      <c r="P103" s="78"/>
    </row>
    <row r="104" spans="16:16" x14ac:dyDescent="0.35">
      <c r="P104" s="78"/>
    </row>
    <row r="105" spans="16:16" x14ac:dyDescent="0.35">
      <c r="P105" s="78"/>
    </row>
    <row r="106" spans="16:16" x14ac:dyDescent="0.35">
      <c r="P106" s="78"/>
    </row>
    <row r="107" spans="16:16" x14ac:dyDescent="0.35">
      <c r="P107" s="78"/>
    </row>
    <row r="108" spans="16:16" x14ac:dyDescent="0.35">
      <c r="P108" s="78"/>
    </row>
    <row r="109" spans="16:16" x14ac:dyDescent="0.35">
      <c r="P109" s="78"/>
    </row>
    <row r="110" spans="16:16" x14ac:dyDescent="0.35">
      <c r="P110" s="78"/>
    </row>
    <row r="111" spans="16:16" x14ac:dyDescent="0.35">
      <c r="P111" s="78"/>
    </row>
    <row r="112" spans="16:16" x14ac:dyDescent="0.35">
      <c r="P112" s="78"/>
    </row>
    <row r="113" spans="16:16" x14ac:dyDescent="0.35">
      <c r="P113" s="78"/>
    </row>
    <row r="114" spans="16:16" x14ac:dyDescent="0.35">
      <c r="P114" s="78"/>
    </row>
    <row r="115" spans="16:16" x14ac:dyDescent="0.35">
      <c r="P115" s="78"/>
    </row>
    <row r="116" spans="16:16" x14ac:dyDescent="0.35">
      <c r="P116" s="78"/>
    </row>
    <row r="117" spans="16:16" x14ac:dyDescent="0.35">
      <c r="P117" s="78"/>
    </row>
    <row r="118" spans="16:16" x14ac:dyDescent="0.35">
      <c r="P118" s="78"/>
    </row>
    <row r="119" spans="16:16" x14ac:dyDescent="0.35">
      <c r="P119" s="78"/>
    </row>
    <row r="120" spans="16:16" x14ac:dyDescent="0.35">
      <c r="P120" s="78"/>
    </row>
    <row r="121" spans="16:16" x14ac:dyDescent="0.35">
      <c r="P121" s="78"/>
    </row>
    <row r="122" spans="16:16" x14ac:dyDescent="0.35">
      <c r="P122" s="78"/>
    </row>
    <row r="123" spans="16:16" x14ac:dyDescent="0.35">
      <c r="P123" s="78"/>
    </row>
    <row r="124" spans="16:16" x14ac:dyDescent="0.35">
      <c r="P124" s="78"/>
    </row>
    <row r="125" spans="16:16" x14ac:dyDescent="0.35">
      <c r="P125" s="78"/>
    </row>
    <row r="126" spans="16:16" x14ac:dyDescent="0.35">
      <c r="P126" s="78"/>
    </row>
    <row r="127" spans="16:16" x14ac:dyDescent="0.35">
      <c r="P127" s="78"/>
    </row>
    <row r="128" spans="16:16" x14ac:dyDescent="0.35">
      <c r="P128" s="78"/>
    </row>
    <row r="129" spans="16:16" x14ac:dyDescent="0.35">
      <c r="P129" s="78"/>
    </row>
    <row r="130" spans="16:16" x14ac:dyDescent="0.35">
      <c r="P130" s="78"/>
    </row>
    <row r="131" spans="16:16" x14ac:dyDescent="0.35">
      <c r="P131" s="78"/>
    </row>
    <row r="132" spans="16:16" x14ac:dyDescent="0.35">
      <c r="P132" s="78"/>
    </row>
    <row r="133" spans="16:16" x14ac:dyDescent="0.35">
      <c r="P133" s="78"/>
    </row>
    <row r="134" spans="16:16" x14ac:dyDescent="0.35">
      <c r="P134" s="78"/>
    </row>
  </sheetData>
  <autoFilter ref="P6:P29" xr:uid="{00000000-0001-0000-0600-000000000000}">
    <filterColumn colId="0">
      <filters>
        <filter val="Yes"/>
      </filters>
    </filterColumn>
  </autoFilter>
  <conditionalFormatting sqref="E11">
    <cfRule type="cellIs" dxfId="227" priority="24" operator="between">
      <formula>2.75</formula>
      <formula>3</formula>
    </cfRule>
    <cfRule type="cellIs" dxfId="226" priority="25" operator="between">
      <formula>1.75</formula>
      <formula>2.75</formula>
    </cfRule>
    <cfRule type="cellIs" dxfId="225" priority="26" operator="equal">
      <formula>0</formula>
    </cfRule>
  </conditionalFormatting>
  <conditionalFormatting sqref="E14">
    <cfRule type="cellIs" dxfId="224" priority="21" operator="between">
      <formula>2.75</formula>
      <formula>3</formula>
    </cfRule>
    <cfRule type="cellIs" dxfId="223" priority="22" operator="between">
      <formula>1.75</formula>
      <formula>2.75</formula>
    </cfRule>
    <cfRule type="cellIs" dxfId="222" priority="23" operator="equal">
      <formula>0</formula>
    </cfRule>
  </conditionalFormatting>
  <conditionalFormatting sqref="E17">
    <cfRule type="cellIs" dxfId="221" priority="18" operator="between">
      <formula>2.75</formula>
      <formula>3</formula>
    </cfRule>
    <cfRule type="cellIs" dxfId="220" priority="19" operator="between">
      <formula>1.75</formula>
      <formula>2.75</formula>
    </cfRule>
    <cfRule type="cellIs" dxfId="219" priority="20" operator="equal">
      <formula>0</formula>
    </cfRule>
  </conditionalFormatting>
  <conditionalFormatting sqref="E20">
    <cfRule type="cellIs" dxfId="218" priority="15" operator="between">
      <formula>2.75</formula>
      <formula>3</formula>
    </cfRule>
    <cfRule type="cellIs" dxfId="217" priority="16" operator="between">
      <formula>1.75</formula>
      <formula>2.75</formula>
    </cfRule>
    <cfRule type="cellIs" dxfId="216" priority="17" operator="equal">
      <formula>0</formula>
    </cfRule>
  </conditionalFormatting>
  <conditionalFormatting sqref="E23">
    <cfRule type="cellIs" dxfId="215" priority="12" operator="between">
      <formula>2.75</formula>
      <formula>3</formula>
    </cfRule>
    <cfRule type="cellIs" dxfId="214" priority="13" operator="between">
      <formula>1.75</formula>
      <formula>2.75</formula>
    </cfRule>
    <cfRule type="cellIs" dxfId="213" priority="14" operator="equal">
      <formula>0</formula>
    </cfRule>
  </conditionalFormatting>
  <conditionalFormatting sqref="E26">
    <cfRule type="cellIs" dxfId="212" priority="9" operator="between">
      <formula>2.75</formula>
      <formula>3</formula>
    </cfRule>
    <cfRule type="cellIs" dxfId="211" priority="10" operator="between">
      <formula>1.75</formula>
      <formula>2.75</formula>
    </cfRule>
    <cfRule type="cellIs" dxfId="210" priority="11" operator="equal">
      <formula>0</formula>
    </cfRule>
  </conditionalFormatting>
  <conditionalFormatting sqref="E29">
    <cfRule type="cellIs" dxfId="209" priority="6" operator="between">
      <formula>2.75</formula>
      <formula>3</formula>
    </cfRule>
    <cfRule type="cellIs" dxfId="208" priority="7" operator="between">
      <formula>1.75</formula>
      <formula>2.75</formula>
    </cfRule>
    <cfRule type="cellIs" dxfId="207" priority="8" operator="equal">
      <formula>0</formula>
    </cfRule>
  </conditionalFormatting>
  <conditionalFormatting sqref="F7:I7">
    <cfRule type="cellIs" dxfId="206" priority="1" operator="equal">
      <formula>3</formula>
    </cfRule>
    <cfRule type="cellIs" dxfId="205" priority="2" operator="between">
      <formula>2</formula>
      <formula>3</formula>
    </cfRule>
    <cfRule type="cellIs" dxfId="204" priority="3" operator="between">
      <formula>0</formula>
      <formula>2</formula>
    </cfRule>
  </conditionalFormatting>
  <conditionalFormatting sqref="K1:K4">
    <cfRule type="cellIs" dxfId="203" priority="27" stopIfTrue="1" operator="between">
      <formula>2.75</formula>
      <formula>3</formula>
    </cfRule>
    <cfRule type="cellIs" dxfId="202" priority="28" stopIfTrue="1" operator="between">
      <formula>1.5</formula>
      <formula>2.75</formula>
    </cfRule>
    <cfRule type="cellIs" dxfId="201" priority="29" stopIfTrue="1" operator="between">
      <formula>0</formula>
      <formula>1.5</formula>
    </cfRule>
  </conditionalFormatting>
  <dataValidations count="1">
    <dataValidation type="list" allowBlank="1" showInputMessage="1" showErrorMessage="1" sqref="D11 D14 D17 D20 D23 D26" xr:uid="{00000000-0002-0000-0600-000000000000}">
      <formula1>Rating</formula1>
    </dataValidation>
  </dataValidations>
  <pageMargins left="0.7" right="0.7" top="0.75" bottom="0.75" header="0.3" footer="0.3"/>
  <pageSetup paperSize="9" orientation="portrait" r:id="rId1"/>
  <customProperties>
    <customPr name="_pios_id" r:id="rId2"/>
  </customProperties>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Q134"/>
  <sheetViews>
    <sheetView workbookViewId="0">
      <pane ySplit="7" topLeftCell="A8" activePane="bottomLeft" state="frozen"/>
      <selection pane="bottomLeft" activeCell="Q7" sqref="Q7:Q17"/>
    </sheetView>
  </sheetViews>
  <sheetFormatPr defaultColWidth="8.6328125" defaultRowHeight="14.5" x14ac:dyDescent="0.35"/>
  <cols>
    <col min="3" max="3" width="42.453125" customWidth="1"/>
    <col min="4" max="4" width="42" customWidth="1"/>
    <col min="11" max="11" width="10" customWidth="1"/>
    <col min="14" max="14" width="10.36328125" customWidth="1"/>
  </cols>
  <sheetData>
    <row r="1" spans="1:17" x14ac:dyDescent="0.35">
      <c r="A1" s="1" t="s">
        <v>7</v>
      </c>
      <c r="F1" s="4"/>
      <c r="G1" s="4"/>
      <c r="H1" s="4"/>
      <c r="I1" s="4"/>
      <c r="J1" s="9" t="s">
        <v>88</v>
      </c>
      <c r="K1" s="9">
        <v>3</v>
      </c>
      <c r="L1" t="s">
        <v>301</v>
      </c>
      <c r="M1" s="2"/>
      <c r="N1" s="2"/>
      <c r="O1" s="2"/>
      <c r="P1" s="2"/>
    </row>
    <row r="2" spans="1:17" x14ac:dyDescent="0.35">
      <c r="A2" s="2" t="s">
        <v>8</v>
      </c>
      <c r="F2" s="16" t="s">
        <v>302</v>
      </c>
      <c r="G2" s="4"/>
      <c r="H2" s="4"/>
      <c r="I2" s="4"/>
      <c r="K2" s="9">
        <v>2</v>
      </c>
      <c r="L2" t="s">
        <v>303</v>
      </c>
      <c r="M2" s="2"/>
      <c r="N2" s="2"/>
      <c r="O2" s="2"/>
      <c r="P2" s="2"/>
    </row>
    <row r="3" spans="1:17" x14ac:dyDescent="0.35">
      <c r="A3" s="2" t="s">
        <v>9</v>
      </c>
      <c r="F3" t="s">
        <v>304</v>
      </c>
      <c r="G3" s="4"/>
      <c r="H3" s="4"/>
      <c r="I3" s="4"/>
      <c r="K3" s="9">
        <v>0</v>
      </c>
      <c r="L3" t="s">
        <v>305</v>
      </c>
      <c r="M3" s="2"/>
      <c r="N3" s="2"/>
      <c r="O3" s="2"/>
      <c r="P3" s="2"/>
    </row>
    <row r="4" spans="1:17" x14ac:dyDescent="0.35">
      <c r="A4" s="2" t="s">
        <v>10</v>
      </c>
      <c r="B4" s="2"/>
      <c r="C4" s="2" t="s">
        <v>11</v>
      </c>
      <c r="F4" s="4"/>
      <c r="G4" s="4"/>
      <c r="H4" s="4"/>
      <c r="I4" s="4"/>
      <c r="K4" s="9" t="s">
        <v>306</v>
      </c>
      <c r="L4" t="s">
        <v>307</v>
      </c>
      <c r="M4" s="2"/>
      <c r="N4" s="2"/>
      <c r="O4" s="2"/>
      <c r="P4" s="2"/>
    </row>
    <row r="5" spans="1:17" x14ac:dyDescent="0.35">
      <c r="F5" s="4"/>
      <c r="G5" s="4"/>
      <c r="H5" s="4"/>
      <c r="I5" s="4"/>
      <c r="J5" s="3"/>
      <c r="K5" s="17" t="s">
        <v>32</v>
      </c>
      <c r="L5" s="2"/>
      <c r="M5" s="2"/>
      <c r="N5" s="2"/>
      <c r="O5" s="2"/>
      <c r="P5">
        <v>0</v>
      </c>
    </row>
    <row r="6" spans="1:17" ht="43.5" x14ac:dyDescent="0.35">
      <c r="A6" s="31"/>
      <c r="B6" s="31"/>
      <c r="C6" s="31"/>
      <c r="D6" s="31"/>
      <c r="E6" s="31"/>
      <c r="F6" s="40" t="s">
        <v>23</v>
      </c>
      <c r="G6" s="40" t="s">
        <v>26</v>
      </c>
      <c r="H6" s="40" t="s">
        <v>28</v>
      </c>
      <c r="I6" s="40" t="s">
        <v>30</v>
      </c>
      <c r="J6" s="43" t="s">
        <v>94</v>
      </c>
      <c r="K6" s="61" t="s">
        <v>182</v>
      </c>
      <c r="L6" s="60" t="s">
        <v>308</v>
      </c>
      <c r="M6" s="60" t="s">
        <v>309</v>
      </c>
      <c r="N6" s="60" t="s">
        <v>310</v>
      </c>
      <c r="O6" s="60" t="s">
        <v>311</v>
      </c>
      <c r="P6" s="77" t="s">
        <v>420</v>
      </c>
      <c r="Q6" s="63" t="s">
        <v>313</v>
      </c>
    </row>
    <row r="7" spans="1:17" x14ac:dyDescent="0.35">
      <c r="A7" s="1" t="s">
        <v>49</v>
      </c>
      <c r="B7" s="2"/>
      <c r="F7" s="42" t="str">
        <f>IFERROR(AVERAGE(E11),"n/a")</f>
        <v>n/a</v>
      </c>
      <c r="G7" s="42" t="str">
        <f>IFERROR(AVERAGE(E11,E17),"n/a")</f>
        <v>n/a</v>
      </c>
      <c r="H7" s="42" t="str">
        <f>IFERROR(AVERAGE(E11,E14,E17),"n/a")</f>
        <v>n/a</v>
      </c>
      <c r="I7" s="42" t="str">
        <f>IFERROR(AVERAGE(E11,E14,E17),"n/a")</f>
        <v>n/a</v>
      </c>
      <c r="P7" s="78" t="s">
        <v>315</v>
      </c>
      <c r="Q7" t="s">
        <v>315</v>
      </c>
    </row>
    <row r="8" spans="1:17" ht="87" x14ac:dyDescent="0.35">
      <c r="A8" s="1"/>
      <c r="B8" s="18"/>
      <c r="C8" s="18" t="s">
        <v>715</v>
      </c>
      <c r="D8" s="20" t="s">
        <v>317</v>
      </c>
      <c r="P8" s="78" t="s">
        <v>315</v>
      </c>
      <c r="Q8" t="s">
        <v>315</v>
      </c>
    </row>
    <row r="9" spans="1:17" hidden="1" x14ac:dyDescent="0.35">
      <c r="A9" s="30" t="s">
        <v>318</v>
      </c>
      <c r="B9" s="23" t="s">
        <v>716</v>
      </c>
      <c r="C9" s="37" t="s">
        <v>717</v>
      </c>
      <c r="D9" s="56" t="s">
        <v>321</v>
      </c>
      <c r="P9" s="78" t="str">
        <f>IF(COUNTA(K10:O10)=0,"No","Yes")</f>
        <v>No</v>
      </c>
      <c r="Q9" t="s">
        <v>315</v>
      </c>
    </row>
    <row r="10" spans="1:17" ht="43.5" hidden="1" x14ac:dyDescent="0.35">
      <c r="B10" s="2"/>
      <c r="C10" s="36" t="s">
        <v>718</v>
      </c>
      <c r="D10" s="19"/>
      <c r="P10" s="78" t="str">
        <f>IF(COUNTA(K10:O10)=0,"No","Yes")</f>
        <v>No</v>
      </c>
      <c r="Q10" t="s">
        <v>315</v>
      </c>
    </row>
    <row r="11" spans="1:17" ht="15" hidden="1" thickBot="1" x14ac:dyDescent="0.4">
      <c r="A11" s="29"/>
      <c r="B11" s="22"/>
      <c r="C11" s="26" t="s">
        <v>304</v>
      </c>
      <c r="D11" s="57"/>
      <c r="E11" s="29" t="str">
        <f>IF(D11=FR6_TRE!$L$1,FR6_TRE!$K$1,(IF(D11=FR6_TRE!$L$2,FR6_TRE!$K$2,(IF(D11=FR6_TRE!$L$3,FR6_TRE!$K$3,(IF(D11=FR6_TRE!$L$4,FR6_TRE!$K$4,FR6_TRE!$K$5)))))))</f>
        <v/>
      </c>
      <c r="F11">
        <v>1</v>
      </c>
      <c r="G11">
        <v>2</v>
      </c>
      <c r="H11">
        <v>3</v>
      </c>
      <c r="I11">
        <v>4</v>
      </c>
      <c r="J11">
        <f>MIN(F11:I11)</f>
        <v>1</v>
      </c>
      <c r="P11" s="78" t="str">
        <f>IF(COUNTA(K10:O10)=0,"No","Yes")</f>
        <v>No</v>
      </c>
      <c r="Q11" t="s">
        <v>315</v>
      </c>
    </row>
    <row r="12" spans="1:17" hidden="1" x14ac:dyDescent="0.35">
      <c r="A12" t="s">
        <v>325</v>
      </c>
      <c r="B12" s="25" t="s">
        <v>719</v>
      </c>
      <c r="C12" s="25" t="s">
        <v>720</v>
      </c>
      <c r="D12" s="5" t="s">
        <v>321</v>
      </c>
      <c r="P12" s="78" t="str">
        <f>IF(COUNTA(K13:O13)=0,"No","Yes")</f>
        <v>No</v>
      </c>
      <c r="Q12" t="s">
        <v>315</v>
      </c>
    </row>
    <row r="13" spans="1:17" ht="58" hidden="1" x14ac:dyDescent="0.35">
      <c r="B13" s="2"/>
      <c r="C13" s="24" t="s">
        <v>721</v>
      </c>
      <c r="D13" s="19"/>
      <c r="P13" s="78" t="str">
        <f>IF(COUNTA(K13:O13)=0,"No","Yes")</f>
        <v>No</v>
      </c>
      <c r="Q13" t="s">
        <v>315</v>
      </c>
    </row>
    <row r="14" spans="1:17" ht="15" hidden="1" thickBot="1" x14ac:dyDescent="0.4">
      <c r="A14" s="29"/>
      <c r="B14" s="22"/>
      <c r="C14" s="26" t="s">
        <v>304</v>
      </c>
      <c r="D14" s="57"/>
      <c r="E14" s="29" t="str">
        <f>IF(D14=FR6_TRE!$L$1,FR6_TRE!$K$1,(IF(D14=FR6_TRE!$L$2,FR6_TRE!$K$2,(IF(D14=FR6_TRE!$L$3,FR6_TRE!$K$3,(IF(D14=FR6_TRE!$L$4,FR6_TRE!$K$4,FR6_TRE!$K$5)))))))</f>
        <v/>
      </c>
      <c r="H14">
        <v>3</v>
      </c>
      <c r="I14">
        <v>4</v>
      </c>
      <c r="J14">
        <f>MIN(F14:I14)</f>
        <v>3</v>
      </c>
      <c r="P14" s="78" t="str">
        <f>IF(COUNTA(K13:O13)=0,"No","Yes")</f>
        <v>No</v>
      </c>
      <c r="Q14" t="s">
        <v>315</v>
      </c>
    </row>
    <row r="15" spans="1:17" hidden="1" x14ac:dyDescent="0.35">
      <c r="A15" t="s">
        <v>318</v>
      </c>
      <c r="B15" s="25" t="s">
        <v>722</v>
      </c>
      <c r="C15" s="25" t="s">
        <v>723</v>
      </c>
      <c r="D15" s="5" t="s">
        <v>321</v>
      </c>
      <c r="P15" s="78" t="str">
        <f>IF(COUNTA(K16:O16)=0,"No","Yes")</f>
        <v>No</v>
      </c>
      <c r="Q15" t="s">
        <v>315</v>
      </c>
    </row>
    <row r="16" spans="1:17" ht="72.5" hidden="1" x14ac:dyDescent="0.35">
      <c r="B16" s="2"/>
      <c r="C16" s="24" t="s">
        <v>724</v>
      </c>
      <c r="D16" s="19"/>
      <c r="P16" s="78" t="str">
        <f>IF(COUNTA(K16:O16)=0,"No","Yes")</f>
        <v>No</v>
      </c>
      <c r="Q16" t="s">
        <v>315</v>
      </c>
    </row>
    <row r="17" spans="1:17" ht="15" hidden="1" thickBot="1" x14ac:dyDescent="0.4">
      <c r="A17" s="29"/>
      <c r="B17" s="22"/>
      <c r="C17" s="26" t="s">
        <v>304</v>
      </c>
      <c r="D17" s="57"/>
      <c r="E17" s="29" t="str">
        <f>IF(D17=FR6_TRE!$L$1,FR6_TRE!$K$1,(IF(D17=FR6_TRE!$L$2,FR6_TRE!$K$2,(IF(D17=FR6_TRE!$L$3,FR6_TRE!$K$3,(IF(D17=FR6_TRE!$L$4,FR6_TRE!$K$4,FR6_TRE!$K$5)))))))</f>
        <v/>
      </c>
      <c r="G17">
        <v>2</v>
      </c>
      <c r="H17">
        <v>3</v>
      </c>
      <c r="I17">
        <v>4</v>
      </c>
      <c r="J17">
        <f>MIN(F17:I17)</f>
        <v>2</v>
      </c>
      <c r="P17" s="78" t="str">
        <f>IF(COUNTA(K16:O16)=0,"No","Yes")</f>
        <v>No</v>
      </c>
      <c r="Q17" t="s">
        <v>315</v>
      </c>
    </row>
    <row r="18" spans="1:17" x14ac:dyDescent="0.35">
      <c r="P18" s="78"/>
    </row>
    <row r="19" spans="1:17" x14ac:dyDescent="0.35">
      <c r="P19" s="78"/>
    </row>
    <row r="20" spans="1:17" x14ac:dyDescent="0.35">
      <c r="P20" s="78"/>
    </row>
    <row r="21" spans="1:17" x14ac:dyDescent="0.35">
      <c r="P21" s="78"/>
    </row>
    <row r="22" spans="1:17" x14ac:dyDescent="0.35">
      <c r="P22" s="78"/>
    </row>
    <row r="23" spans="1:17" x14ac:dyDescent="0.35">
      <c r="P23" s="78"/>
    </row>
    <row r="24" spans="1:17" x14ac:dyDescent="0.35">
      <c r="P24" s="78"/>
    </row>
    <row r="25" spans="1:17" x14ac:dyDescent="0.35">
      <c r="P25" s="78"/>
    </row>
    <row r="26" spans="1:17" x14ac:dyDescent="0.35">
      <c r="P26" s="78"/>
    </row>
    <row r="27" spans="1:17" x14ac:dyDescent="0.35">
      <c r="P27" s="78"/>
    </row>
    <row r="28" spans="1:17" x14ac:dyDescent="0.35">
      <c r="P28" s="78"/>
    </row>
    <row r="29" spans="1:17" x14ac:dyDescent="0.35">
      <c r="P29" s="78"/>
    </row>
    <row r="30" spans="1:17" x14ac:dyDescent="0.35">
      <c r="P30" s="78"/>
    </row>
    <row r="31" spans="1:17" x14ac:dyDescent="0.35">
      <c r="P31" s="78"/>
    </row>
    <row r="32" spans="1:17" x14ac:dyDescent="0.35">
      <c r="P32" s="78"/>
    </row>
    <row r="33" spans="16:16" x14ac:dyDescent="0.35">
      <c r="P33" s="78"/>
    </row>
    <row r="34" spans="16:16" x14ac:dyDescent="0.35">
      <c r="P34" s="78"/>
    </row>
    <row r="35" spans="16:16" x14ac:dyDescent="0.35">
      <c r="P35" s="78"/>
    </row>
    <row r="36" spans="16:16" x14ac:dyDescent="0.35">
      <c r="P36" s="78"/>
    </row>
    <row r="37" spans="16:16" x14ac:dyDescent="0.35">
      <c r="P37" s="78"/>
    </row>
    <row r="38" spans="16:16" x14ac:dyDescent="0.35">
      <c r="P38" s="78"/>
    </row>
    <row r="39" spans="16:16" x14ac:dyDescent="0.35">
      <c r="P39" s="78"/>
    </row>
    <row r="40" spans="16:16" x14ac:dyDescent="0.35">
      <c r="P40" s="78"/>
    </row>
    <row r="41" spans="16:16" x14ac:dyDescent="0.35">
      <c r="P41" s="78"/>
    </row>
    <row r="42" spans="16:16" x14ac:dyDescent="0.35">
      <c r="P42" s="78"/>
    </row>
    <row r="43" spans="16:16" x14ac:dyDescent="0.35">
      <c r="P43" s="78"/>
    </row>
    <row r="44" spans="16:16" x14ac:dyDescent="0.35">
      <c r="P44" s="78"/>
    </row>
    <row r="45" spans="16:16" x14ac:dyDescent="0.35">
      <c r="P45" s="78"/>
    </row>
    <row r="46" spans="16:16" x14ac:dyDescent="0.35">
      <c r="P46" s="78"/>
    </row>
    <row r="47" spans="16:16" x14ac:dyDescent="0.35">
      <c r="P47" s="78"/>
    </row>
    <row r="48" spans="16:16" x14ac:dyDescent="0.35">
      <c r="P48" s="78"/>
    </row>
    <row r="49" spans="16:16" x14ac:dyDescent="0.35">
      <c r="P49" s="78"/>
    </row>
    <row r="50" spans="16:16" x14ac:dyDescent="0.35">
      <c r="P50" s="78"/>
    </row>
    <row r="51" spans="16:16" x14ac:dyDescent="0.35">
      <c r="P51" s="78"/>
    </row>
    <row r="52" spans="16:16" x14ac:dyDescent="0.35">
      <c r="P52" s="78"/>
    </row>
    <row r="53" spans="16:16" x14ac:dyDescent="0.35">
      <c r="P53" s="78"/>
    </row>
    <row r="54" spans="16:16" x14ac:dyDescent="0.35">
      <c r="P54" s="78"/>
    </row>
    <row r="55" spans="16:16" x14ac:dyDescent="0.35">
      <c r="P55" s="78"/>
    </row>
    <row r="56" spans="16:16" x14ac:dyDescent="0.35">
      <c r="P56" s="78"/>
    </row>
    <row r="57" spans="16:16" x14ac:dyDescent="0.35">
      <c r="P57" s="78"/>
    </row>
    <row r="58" spans="16:16" x14ac:dyDescent="0.35">
      <c r="P58" s="78"/>
    </row>
    <row r="59" spans="16:16" x14ac:dyDescent="0.35">
      <c r="P59" s="78"/>
    </row>
    <row r="60" spans="16:16" x14ac:dyDescent="0.35">
      <c r="P60" s="78"/>
    </row>
    <row r="61" spans="16:16" x14ac:dyDescent="0.35">
      <c r="P61" s="78"/>
    </row>
    <row r="62" spans="16:16" x14ac:dyDescent="0.35">
      <c r="P62" s="78"/>
    </row>
    <row r="63" spans="16:16" x14ac:dyDescent="0.35">
      <c r="P63" s="78"/>
    </row>
    <row r="64" spans="16:16" x14ac:dyDescent="0.35">
      <c r="P64" s="78"/>
    </row>
    <row r="65" spans="16:16" x14ac:dyDescent="0.35">
      <c r="P65" s="78"/>
    </row>
    <row r="66" spans="16:16" x14ac:dyDescent="0.35">
      <c r="P66" s="78"/>
    </row>
    <row r="67" spans="16:16" x14ac:dyDescent="0.35">
      <c r="P67" s="78"/>
    </row>
    <row r="68" spans="16:16" x14ac:dyDescent="0.35">
      <c r="P68" s="78"/>
    </row>
    <row r="69" spans="16:16" x14ac:dyDescent="0.35">
      <c r="P69" s="78"/>
    </row>
    <row r="70" spans="16:16" x14ac:dyDescent="0.35">
      <c r="P70" s="78"/>
    </row>
    <row r="71" spans="16:16" x14ac:dyDescent="0.35">
      <c r="P71" s="78"/>
    </row>
    <row r="72" spans="16:16" x14ac:dyDescent="0.35">
      <c r="P72" s="78"/>
    </row>
    <row r="73" spans="16:16" x14ac:dyDescent="0.35">
      <c r="P73" s="78"/>
    </row>
    <row r="74" spans="16:16" x14ac:dyDescent="0.35">
      <c r="P74" s="78"/>
    </row>
    <row r="75" spans="16:16" x14ac:dyDescent="0.35">
      <c r="P75" s="78"/>
    </row>
    <row r="76" spans="16:16" x14ac:dyDescent="0.35">
      <c r="P76" s="78"/>
    </row>
    <row r="77" spans="16:16" x14ac:dyDescent="0.35">
      <c r="P77" s="78"/>
    </row>
    <row r="78" spans="16:16" x14ac:dyDescent="0.35">
      <c r="P78" s="78"/>
    </row>
    <row r="79" spans="16:16" x14ac:dyDescent="0.35">
      <c r="P79" s="78"/>
    </row>
    <row r="80" spans="16:16" x14ac:dyDescent="0.35">
      <c r="P80" s="78"/>
    </row>
    <row r="81" spans="16:16" x14ac:dyDescent="0.35">
      <c r="P81" s="78"/>
    </row>
    <row r="82" spans="16:16" x14ac:dyDescent="0.35">
      <c r="P82" s="78"/>
    </row>
    <row r="83" spans="16:16" x14ac:dyDescent="0.35">
      <c r="P83" s="78"/>
    </row>
    <row r="84" spans="16:16" x14ac:dyDescent="0.35">
      <c r="P84" s="78"/>
    </row>
    <row r="85" spans="16:16" x14ac:dyDescent="0.35">
      <c r="P85" s="78"/>
    </row>
    <row r="86" spans="16:16" x14ac:dyDescent="0.35">
      <c r="P86" s="78"/>
    </row>
    <row r="87" spans="16:16" x14ac:dyDescent="0.35">
      <c r="P87" s="78"/>
    </row>
    <row r="88" spans="16:16" x14ac:dyDescent="0.35">
      <c r="P88" s="78"/>
    </row>
    <row r="89" spans="16:16" x14ac:dyDescent="0.35">
      <c r="P89" s="78"/>
    </row>
    <row r="90" spans="16:16" x14ac:dyDescent="0.35">
      <c r="P90" s="78"/>
    </row>
    <row r="91" spans="16:16" x14ac:dyDescent="0.35">
      <c r="P91" s="78"/>
    </row>
    <row r="92" spans="16:16" x14ac:dyDescent="0.35">
      <c r="P92" s="78"/>
    </row>
    <row r="93" spans="16:16" x14ac:dyDescent="0.35">
      <c r="P93" s="78"/>
    </row>
    <row r="94" spans="16:16" x14ac:dyDescent="0.35">
      <c r="P94" s="78"/>
    </row>
    <row r="95" spans="16:16" x14ac:dyDescent="0.35">
      <c r="P95" s="78"/>
    </row>
    <row r="96" spans="16:16" x14ac:dyDescent="0.35">
      <c r="P96" s="78"/>
    </row>
    <row r="97" spans="16:16" x14ac:dyDescent="0.35">
      <c r="P97" s="78"/>
    </row>
    <row r="98" spans="16:16" x14ac:dyDescent="0.35">
      <c r="P98" s="78"/>
    </row>
    <row r="99" spans="16:16" x14ac:dyDescent="0.35">
      <c r="P99" s="78"/>
    </row>
    <row r="100" spans="16:16" x14ac:dyDescent="0.35">
      <c r="P100" s="78"/>
    </row>
    <row r="101" spans="16:16" x14ac:dyDescent="0.35">
      <c r="P101" s="78"/>
    </row>
    <row r="102" spans="16:16" x14ac:dyDescent="0.35">
      <c r="P102" s="78"/>
    </row>
    <row r="103" spans="16:16" x14ac:dyDescent="0.35">
      <c r="P103" s="78"/>
    </row>
    <row r="104" spans="16:16" x14ac:dyDescent="0.35">
      <c r="P104" s="78"/>
    </row>
    <row r="105" spans="16:16" x14ac:dyDescent="0.35">
      <c r="P105" s="78"/>
    </row>
    <row r="106" spans="16:16" x14ac:dyDescent="0.35">
      <c r="P106" s="78"/>
    </row>
    <row r="107" spans="16:16" x14ac:dyDescent="0.35">
      <c r="P107" s="78"/>
    </row>
    <row r="108" spans="16:16" x14ac:dyDescent="0.35">
      <c r="P108" s="78"/>
    </row>
    <row r="109" spans="16:16" x14ac:dyDescent="0.35">
      <c r="P109" s="78"/>
    </row>
    <row r="110" spans="16:16" x14ac:dyDescent="0.35">
      <c r="P110" s="78"/>
    </row>
    <row r="111" spans="16:16" x14ac:dyDescent="0.35">
      <c r="P111" s="78"/>
    </row>
    <row r="112" spans="16:16" x14ac:dyDescent="0.35">
      <c r="P112" s="78"/>
    </row>
    <row r="113" spans="16:16" x14ac:dyDescent="0.35">
      <c r="P113" s="78"/>
    </row>
    <row r="114" spans="16:16" x14ac:dyDescent="0.35">
      <c r="P114" s="78"/>
    </row>
    <row r="115" spans="16:16" x14ac:dyDescent="0.35">
      <c r="P115" s="78"/>
    </row>
    <row r="116" spans="16:16" x14ac:dyDescent="0.35">
      <c r="P116" s="78"/>
    </row>
    <row r="117" spans="16:16" x14ac:dyDescent="0.35">
      <c r="P117" s="78"/>
    </row>
    <row r="118" spans="16:16" x14ac:dyDescent="0.35">
      <c r="P118" s="78"/>
    </row>
    <row r="119" spans="16:16" x14ac:dyDescent="0.35">
      <c r="P119" s="78"/>
    </row>
    <row r="120" spans="16:16" x14ac:dyDescent="0.35">
      <c r="P120" s="78"/>
    </row>
    <row r="121" spans="16:16" x14ac:dyDescent="0.35">
      <c r="P121" s="78"/>
    </row>
    <row r="122" spans="16:16" x14ac:dyDescent="0.35">
      <c r="P122" s="78"/>
    </row>
    <row r="123" spans="16:16" x14ac:dyDescent="0.35">
      <c r="P123" s="78"/>
    </row>
    <row r="124" spans="16:16" x14ac:dyDescent="0.35">
      <c r="P124" s="78"/>
    </row>
    <row r="125" spans="16:16" x14ac:dyDescent="0.35">
      <c r="P125" s="78"/>
    </row>
    <row r="126" spans="16:16" x14ac:dyDescent="0.35">
      <c r="P126" s="78"/>
    </row>
    <row r="127" spans="16:16" x14ac:dyDescent="0.35">
      <c r="P127" s="78"/>
    </row>
    <row r="128" spans="16:16" x14ac:dyDescent="0.35">
      <c r="P128" s="78"/>
    </row>
    <row r="129" spans="16:16" x14ac:dyDescent="0.35">
      <c r="P129" s="78"/>
    </row>
    <row r="130" spans="16:16" x14ac:dyDescent="0.35">
      <c r="P130" s="78"/>
    </row>
    <row r="131" spans="16:16" x14ac:dyDescent="0.35">
      <c r="P131" s="78"/>
    </row>
    <row r="132" spans="16:16" x14ac:dyDescent="0.35">
      <c r="P132" s="78"/>
    </row>
    <row r="133" spans="16:16" x14ac:dyDescent="0.35">
      <c r="P133" s="78"/>
    </row>
    <row r="134" spans="16:16" x14ac:dyDescent="0.35">
      <c r="P134" s="78"/>
    </row>
  </sheetData>
  <autoFilter ref="P6:P17" xr:uid="{00000000-0001-0000-0700-000000000000}">
    <filterColumn colId="0">
      <filters>
        <filter val="Yes"/>
      </filters>
    </filterColumn>
  </autoFilter>
  <conditionalFormatting sqref="E11">
    <cfRule type="cellIs" dxfId="200" priority="10" operator="between">
      <formula>2.75</formula>
      <formula>3</formula>
    </cfRule>
    <cfRule type="cellIs" dxfId="199" priority="11" operator="between">
      <formula>1.75</formula>
      <formula>2.75</formula>
    </cfRule>
    <cfRule type="cellIs" dxfId="198" priority="12" operator="equal">
      <formula>0</formula>
    </cfRule>
  </conditionalFormatting>
  <conditionalFormatting sqref="E14">
    <cfRule type="cellIs" dxfId="197" priority="7" operator="between">
      <formula>2.75</formula>
      <formula>3</formula>
    </cfRule>
    <cfRule type="cellIs" dxfId="196" priority="8" operator="between">
      <formula>1.75</formula>
      <formula>2.75</formula>
    </cfRule>
    <cfRule type="cellIs" dxfId="195" priority="9" operator="equal">
      <formula>0</formula>
    </cfRule>
  </conditionalFormatting>
  <conditionalFormatting sqref="E17">
    <cfRule type="cellIs" dxfId="194" priority="4" operator="between">
      <formula>2.75</formula>
      <formula>3</formula>
    </cfRule>
    <cfRule type="cellIs" dxfId="193" priority="5" operator="between">
      <formula>1.75</formula>
      <formula>2.75</formula>
    </cfRule>
    <cfRule type="cellIs" dxfId="192" priority="6" operator="equal">
      <formula>0</formula>
    </cfRule>
  </conditionalFormatting>
  <conditionalFormatting sqref="F7:I7">
    <cfRule type="cellIs" dxfId="191" priority="1" operator="equal">
      <formula>3</formula>
    </cfRule>
    <cfRule type="cellIs" dxfId="190" priority="2" operator="between">
      <formula>2</formula>
      <formula>3</formula>
    </cfRule>
    <cfRule type="cellIs" dxfId="189" priority="3" operator="between">
      <formula>0</formula>
      <formula>2</formula>
    </cfRule>
  </conditionalFormatting>
  <conditionalFormatting sqref="K1:K4">
    <cfRule type="cellIs" dxfId="188" priority="13" stopIfTrue="1" operator="between">
      <formula>2.75</formula>
      <formula>3</formula>
    </cfRule>
    <cfRule type="cellIs" dxfId="187" priority="14" stopIfTrue="1" operator="between">
      <formula>1.5</formula>
      <formula>2.75</formula>
    </cfRule>
    <cfRule type="cellIs" dxfId="186" priority="15" stopIfTrue="1" operator="between">
      <formula>0</formula>
      <formula>1.5</formula>
    </cfRule>
  </conditionalFormatting>
  <dataValidations count="1">
    <dataValidation type="list" allowBlank="1" showInputMessage="1" showErrorMessage="1" sqref="D11 D14 D17" xr:uid="{00000000-0002-0000-0700-000000000000}">
      <formula1>Rating</formula1>
    </dataValidation>
  </dataValidations>
  <pageMargins left="0.7" right="0.7" top="0.75" bottom="0.75" header="0.3" footer="0.3"/>
  <pageSetup paperSize="9" orientation="portrait" r:id="rId1"/>
  <customProperties>
    <customPr name="_pios_id" r:id="rId2"/>
  </customProperties>
  <drawing r:id="rId3"/>
  <legacyDrawing r:id="rId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Q135"/>
  <sheetViews>
    <sheetView zoomScaleNormal="100" workbookViewId="0">
      <pane ySplit="7" topLeftCell="A8" activePane="bottomLeft" state="frozen"/>
      <selection pane="bottomLeft" activeCell="C38" sqref="C38"/>
    </sheetView>
  </sheetViews>
  <sheetFormatPr defaultColWidth="8.6328125" defaultRowHeight="14.5" x14ac:dyDescent="0.35"/>
  <cols>
    <col min="2" max="2" width="8.6328125" style="12"/>
    <col min="3" max="3" width="48.6328125" style="12" customWidth="1"/>
    <col min="4" max="4" width="42.453125" customWidth="1"/>
    <col min="11" max="11" width="10.453125" customWidth="1"/>
    <col min="13" max="13" width="24.6328125" customWidth="1"/>
    <col min="14" max="14" width="10.36328125" customWidth="1"/>
  </cols>
  <sheetData>
    <row r="1" spans="1:17" x14ac:dyDescent="0.35">
      <c r="A1" s="1" t="s">
        <v>7</v>
      </c>
      <c r="F1" s="4"/>
      <c r="G1" s="4"/>
      <c r="H1" s="4"/>
      <c r="I1" s="4"/>
      <c r="J1" s="9" t="s">
        <v>88</v>
      </c>
      <c r="K1" s="9">
        <v>3</v>
      </c>
      <c r="L1" t="s">
        <v>301</v>
      </c>
      <c r="M1" s="2"/>
      <c r="N1" s="2"/>
      <c r="O1" s="2"/>
      <c r="P1" s="2"/>
    </row>
    <row r="2" spans="1:17" x14ac:dyDescent="0.35">
      <c r="A2" s="2" t="s">
        <v>8</v>
      </c>
      <c r="F2" s="16" t="s">
        <v>302</v>
      </c>
      <c r="G2" s="4"/>
      <c r="H2" s="4"/>
      <c r="I2" s="4"/>
      <c r="K2" s="9">
        <v>2</v>
      </c>
      <c r="L2" t="s">
        <v>303</v>
      </c>
      <c r="M2" s="2"/>
      <c r="N2" s="2"/>
      <c r="O2" s="2"/>
      <c r="P2" s="2"/>
    </row>
    <row r="3" spans="1:17" x14ac:dyDescent="0.35">
      <c r="A3" s="2" t="s">
        <v>9</v>
      </c>
      <c r="F3" t="s">
        <v>304</v>
      </c>
      <c r="G3" s="4"/>
      <c r="H3" s="4"/>
      <c r="I3" s="4"/>
      <c r="K3" s="9">
        <v>0</v>
      </c>
      <c r="L3" t="s">
        <v>305</v>
      </c>
      <c r="M3" s="2"/>
      <c r="N3" s="2"/>
      <c r="O3" s="2"/>
      <c r="P3" s="2"/>
    </row>
    <row r="4" spans="1:17" x14ac:dyDescent="0.35">
      <c r="A4" s="2" t="s">
        <v>10</v>
      </c>
      <c r="B4" s="14"/>
      <c r="C4" s="14" t="s">
        <v>11</v>
      </c>
      <c r="F4" s="4"/>
      <c r="G4" s="4"/>
      <c r="H4" s="4"/>
      <c r="I4" s="4"/>
      <c r="K4" s="9" t="s">
        <v>306</v>
      </c>
      <c r="L4" t="s">
        <v>307</v>
      </c>
      <c r="M4" s="2"/>
      <c r="N4" s="2"/>
      <c r="O4" s="2"/>
      <c r="P4" s="2"/>
    </row>
    <row r="5" spans="1:17" x14ac:dyDescent="0.35">
      <c r="F5" s="4"/>
      <c r="G5" s="4"/>
      <c r="H5" s="4"/>
      <c r="I5" s="4"/>
      <c r="J5" s="3"/>
      <c r="K5" s="17" t="s">
        <v>32</v>
      </c>
      <c r="L5" s="2"/>
      <c r="M5" s="2"/>
      <c r="N5" s="2"/>
      <c r="O5" s="2"/>
      <c r="P5">
        <v>3</v>
      </c>
    </row>
    <row r="6" spans="1:17" ht="43.5" x14ac:dyDescent="0.35">
      <c r="A6" s="31"/>
      <c r="B6" s="69"/>
      <c r="C6" s="69"/>
      <c r="D6" s="31"/>
      <c r="E6" s="31"/>
      <c r="F6" s="40" t="s">
        <v>23</v>
      </c>
      <c r="G6" s="40" t="s">
        <v>26</v>
      </c>
      <c r="H6" s="40" t="s">
        <v>28</v>
      </c>
      <c r="I6" s="40" t="s">
        <v>30</v>
      </c>
      <c r="J6" s="43" t="s">
        <v>94</v>
      </c>
      <c r="K6" s="61" t="s">
        <v>182</v>
      </c>
      <c r="L6" s="60" t="s">
        <v>308</v>
      </c>
      <c r="M6" s="60" t="s">
        <v>309</v>
      </c>
      <c r="N6" s="60" t="s">
        <v>310</v>
      </c>
      <c r="O6" s="60" t="s">
        <v>311</v>
      </c>
      <c r="P6" s="77" t="s">
        <v>420</v>
      </c>
      <c r="Q6" s="63" t="s">
        <v>313</v>
      </c>
    </row>
    <row r="7" spans="1:17" x14ac:dyDescent="0.35">
      <c r="A7" s="1" t="s">
        <v>50</v>
      </c>
      <c r="B7" s="14"/>
      <c r="F7" s="42">
        <f>IFERROR(AVERAGE(E11,E17,E20,E26,E33,E39),"n/a")</f>
        <v>3</v>
      </c>
      <c r="G7" s="42">
        <f>IFERROR(AVERAGE(E11,E14,E17,E20,E23,E26,E33,E39,E42),"n/a")</f>
        <v>3</v>
      </c>
      <c r="H7" s="42">
        <f>IFERROR(AVERAGE(E11,E14,E17,E20,E23,E26,E33,E36,E39,E42),"n/a")</f>
        <v>3</v>
      </c>
      <c r="I7" s="42">
        <f>IFERROR(AVERAGE(E11,E14,E17,E20,E23,E26,E33,E36,E39,E42),"n/a")</f>
        <v>3</v>
      </c>
      <c r="P7" s="78" t="s">
        <v>315</v>
      </c>
      <c r="Q7" t="s">
        <v>315</v>
      </c>
    </row>
    <row r="8" spans="1:17" ht="87" x14ac:dyDescent="0.35">
      <c r="A8" s="1"/>
      <c r="B8" s="18"/>
      <c r="C8" s="18" t="s">
        <v>725</v>
      </c>
      <c r="D8" s="20" t="s">
        <v>317</v>
      </c>
      <c r="P8" s="78" t="s">
        <v>315</v>
      </c>
      <c r="Q8" t="s">
        <v>315</v>
      </c>
    </row>
    <row r="9" spans="1:17" x14ac:dyDescent="0.35">
      <c r="A9" s="30" t="s">
        <v>318</v>
      </c>
      <c r="B9" s="71" t="s">
        <v>726</v>
      </c>
      <c r="C9" s="84" t="s">
        <v>727</v>
      </c>
      <c r="D9" s="56" t="s">
        <v>321</v>
      </c>
      <c r="P9" s="78" t="str">
        <f>IF(COUNTA(K10:O10)=0,"No","Yes")</f>
        <v>Yes</v>
      </c>
      <c r="Q9" t="s">
        <v>315</v>
      </c>
    </row>
    <row r="10" spans="1:17" ht="43.5" x14ac:dyDescent="0.35">
      <c r="B10" s="14"/>
      <c r="C10" s="62" t="s">
        <v>728</v>
      </c>
      <c r="D10" s="19" t="s">
        <v>729</v>
      </c>
      <c r="K10" s="5" t="s">
        <v>730</v>
      </c>
      <c r="M10" s="95"/>
      <c r="N10" s="5" t="s">
        <v>730</v>
      </c>
      <c r="P10" s="78" t="str">
        <f>IF(COUNTA(K10:O10)=0,"No","Yes")</f>
        <v>Yes</v>
      </c>
      <c r="Q10" t="s">
        <v>315</v>
      </c>
    </row>
    <row r="11" spans="1:17" ht="15" thickBot="1" x14ac:dyDescent="0.4">
      <c r="A11" s="29"/>
      <c r="B11" s="73"/>
      <c r="C11" s="82" t="s">
        <v>304</v>
      </c>
      <c r="D11" s="57" t="s">
        <v>301</v>
      </c>
      <c r="E11" s="29">
        <f>IF(D11=FR7_RA!$L$1,FR7_RA!$K$1,(IF(D11=FR7_RA!$L$2,FR7_RA!$K$2,(IF(D11=FR7_RA!$L$3,FR7_RA!$K$3,(IF(D11=FR7_RA!$L$4,FR7_RA!$K$4,FR7_RA!$K$5)))))))</f>
        <v>3</v>
      </c>
      <c r="F11">
        <v>1</v>
      </c>
      <c r="G11">
        <v>2</v>
      </c>
      <c r="H11">
        <v>3</v>
      </c>
      <c r="I11">
        <v>4</v>
      </c>
      <c r="J11">
        <f>MIN(F11:I11)</f>
        <v>1</v>
      </c>
      <c r="P11" s="78" t="str">
        <f>IF(COUNTA(K10:O10)=0,"No","Yes")</f>
        <v>Yes</v>
      </c>
      <c r="Q11" t="s">
        <v>315</v>
      </c>
    </row>
    <row r="12" spans="1:17" x14ac:dyDescent="0.35">
      <c r="A12" t="s">
        <v>325</v>
      </c>
      <c r="B12" s="74" t="s">
        <v>731</v>
      </c>
      <c r="C12" s="74" t="s">
        <v>732</v>
      </c>
      <c r="D12" s="5" t="s">
        <v>321</v>
      </c>
      <c r="P12" s="78" t="str">
        <f>IF(COUNTA(K13:O13)=0,"No","Yes")</f>
        <v>Yes</v>
      </c>
      <c r="Q12" t="s">
        <v>315</v>
      </c>
    </row>
    <row r="13" spans="1:17" ht="43.5" x14ac:dyDescent="0.35">
      <c r="B13" s="14"/>
      <c r="C13" s="66" t="s">
        <v>733</v>
      </c>
      <c r="D13" s="19"/>
      <c r="M13" s="95"/>
      <c r="N13" t="s">
        <v>583</v>
      </c>
      <c r="P13" s="78" t="str">
        <f>IF(COUNTA(K13:O13)=0,"No","Yes")</f>
        <v>Yes</v>
      </c>
      <c r="Q13" t="s">
        <v>315</v>
      </c>
    </row>
    <row r="14" spans="1:17" ht="15" thickBot="1" x14ac:dyDescent="0.4">
      <c r="A14" s="29"/>
      <c r="B14" s="73"/>
      <c r="C14" s="82" t="s">
        <v>304</v>
      </c>
      <c r="D14" s="57"/>
      <c r="E14" s="29" t="str">
        <f>IF(D14=FR7_RA!$L$1,FR7_RA!$K$1,(IF(D14=FR7_RA!$L$2,FR7_RA!$K$2,(IF(D14=FR7_RA!$L$3,FR7_RA!$K$3,(IF(D14=FR7_RA!$L$4,FR7_RA!$K$4,FR7_RA!$K$5)))))))</f>
        <v/>
      </c>
      <c r="G14">
        <v>2</v>
      </c>
      <c r="H14">
        <v>3</v>
      </c>
      <c r="I14">
        <v>4</v>
      </c>
      <c r="J14">
        <f>MIN(F14:I14)</f>
        <v>2</v>
      </c>
      <c r="P14" s="78" t="str">
        <f>IF(COUNTA(K13:O13)=0,"No","Yes")</f>
        <v>Yes</v>
      </c>
      <c r="Q14" t="s">
        <v>315</v>
      </c>
    </row>
    <row r="15" spans="1:17" hidden="1" x14ac:dyDescent="0.35">
      <c r="A15" t="s">
        <v>318</v>
      </c>
      <c r="B15" s="74" t="s">
        <v>734</v>
      </c>
      <c r="C15" s="74" t="s">
        <v>735</v>
      </c>
      <c r="D15" s="5" t="s">
        <v>321</v>
      </c>
      <c r="P15" s="78" t="str">
        <f>IF(COUNTA(K16:O16)=0,"No","Yes")</f>
        <v>No</v>
      </c>
      <c r="Q15" t="s">
        <v>315</v>
      </c>
    </row>
    <row r="16" spans="1:17" ht="43.5" hidden="1" x14ac:dyDescent="0.35">
      <c r="B16" s="14"/>
      <c r="C16" s="66" t="s">
        <v>736</v>
      </c>
      <c r="D16" s="19"/>
      <c r="M16" s="95"/>
      <c r="P16" s="78" t="str">
        <f>IF(COUNTA(K16:O16)=0,"No","Yes")</f>
        <v>No</v>
      </c>
      <c r="Q16" t="s">
        <v>315</v>
      </c>
    </row>
    <row r="17" spans="1:17" ht="15" hidden="1" thickBot="1" x14ac:dyDescent="0.4">
      <c r="A17" s="29"/>
      <c r="B17" s="73"/>
      <c r="C17" s="82" t="s">
        <v>304</v>
      </c>
      <c r="D17" s="57"/>
      <c r="E17" s="29" t="str">
        <f>IF(D17=FR7_RA!$L$1,FR7_RA!$K$1,(IF(D17=FR7_RA!$L$2,FR7_RA!$K$2,(IF(D17=FR7_RA!$L$3,FR7_RA!$K$3,(IF(D17=FR7_RA!$L$4,FR7_RA!$K$4,FR7_RA!$K$5)))))))</f>
        <v/>
      </c>
      <c r="F17">
        <v>1</v>
      </c>
      <c r="G17">
        <v>2</v>
      </c>
      <c r="H17">
        <v>3</v>
      </c>
      <c r="I17">
        <v>4</v>
      </c>
      <c r="J17">
        <f>MIN(F17:I17)</f>
        <v>1</v>
      </c>
      <c r="P17" s="78" t="str">
        <f>IF(COUNTA(K16:O16)=0,"No","Yes")</f>
        <v>No</v>
      </c>
      <c r="Q17" t="s">
        <v>315</v>
      </c>
    </row>
    <row r="18" spans="1:17" hidden="1" x14ac:dyDescent="0.35">
      <c r="A18" t="s">
        <v>318</v>
      </c>
      <c r="B18" s="74" t="s">
        <v>737</v>
      </c>
      <c r="C18" s="74" t="s">
        <v>738</v>
      </c>
      <c r="D18" s="5" t="s">
        <v>321</v>
      </c>
      <c r="P18" s="78" t="str">
        <f>IF(COUNTA(K19:O19)=0,"No","Yes")</f>
        <v>No</v>
      </c>
      <c r="Q18" t="s">
        <v>315</v>
      </c>
    </row>
    <row r="19" spans="1:17" ht="72.5" hidden="1" x14ac:dyDescent="0.35">
      <c r="B19" s="14"/>
      <c r="C19" s="66" t="s">
        <v>739</v>
      </c>
      <c r="D19" s="19"/>
      <c r="M19" s="97"/>
      <c r="P19" s="78" t="str">
        <f>IF(COUNTA(K19:O19)=0,"No","Yes")</f>
        <v>No</v>
      </c>
      <c r="Q19" t="s">
        <v>315</v>
      </c>
    </row>
    <row r="20" spans="1:17" ht="15" hidden="1" thickBot="1" x14ac:dyDescent="0.4">
      <c r="A20" s="29"/>
      <c r="B20" s="73"/>
      <c r="C20" s="82" t="s">
        <v>304</v>
      </c>
      <c r="D20" s="57"/>
      <c r="E20" s="29" t="str">
        <f>IF(D20=FR7_RA!$L$1,FR7_RA!$K$1,(IF(D20=FR7_RA!$L$2,FR7_RA!$K$2,(IF(D20=FR7_RA!$L$3,FR7_RA!$K$3,(IF(D20=FR7_RA!$L$4,FR7_RA!$K$4,FR7_RA!$K$5)))))))</f>
        <v/>
      </c>
      <c r="F20">
        <v>1</v>
      </c>
      <c r="G20">
        <v>2</v>
      </c>
      <c r="H20">
        <v>3</v>
      </c>
      <c r="I20">
        <v>4</v>
      </c>
      <c r="J20">
        <f>MIN(F20:I20)</f>
        <v>1</v>
      </c>
      <c r="P20" s="78" t="str">
        <f>IF(COUNTA(K19:O19)=0,"No","Yes")</f>
        <v>No</v>
      </c>
      <c r="Q20" t="s">
        <v>315</v>
      </c>
    </row>
    <row r="21" spans="1:17" hidden="1" x14ac:dyDescent="0.35">
      <c r="A21" t="s">
        <v>325</v>
      </c>
      <c r="B21" s="74" t="s">
        <v>740</v>
      </c>
      <c r="C21" s="74" t="s">
        <v>741</v>
      </c>
      <c r="D21" s="5" t="s">
        <v>321</v>
      </c>
      <c r="P21" s="78" t="str">
        <f>IF(COUNTA(K22:O22)=0,"No","Yes")</f>
        <v>No</v>
      </c>
      <c r="Q21" t="s">
        <v>315</v>
      </c>
    </row>
    <row r="22" spans="1:17" ht="43.5" hidden="1" x14ac:dyDescent="0.35">
      <c r="B22" s="14"/>
      <c r="C22" s="66" t="s">
        <v>742</v>
      </c>
      <c r="D22" s="19"/>
      <c r="M22" s="95"/>
      <c r="P22" s="78" t="str">
        <f>IF(COUNTA(K22:O22)=0,"No","Yes")</f>
        <v>No</v>
      </c>
      <c r="Q22" t="s">
        <v>315</v>
      </c>
    </row>
    <row r="23" spans="1:17" ht="15" hidden="1" thickBot="1" x14ac:dyDescent="0.4">
      <c r="A23" s="29"/>
      <c r="B23" s="73"/>
      <c r="C23" s="82" t="s">
        <v>304</v>
      </c>
      <c r="D23" s="57"/>
      <c r="E23" s="29" t="str">
        <f>IF(D23=FR7_RA!$L$1,FR7_RA!$K$1,(IF(D23=FR7_RA!$L$2,FR7_RA!$K$2,(IF(D23=FR7_RA!$L$3,FR7_RA!$K$3,(IF(D23=FR7_RA!$L$4,FR7_RA!$K$4,FR7_RA!$K$5)))))))</f>
        <v/>
      </c>
      <c r="G23">
        <v>2</v>
      </c>
      <c r="H23">
        <v>3</v>
      </c>
      <c r="I23">
        <v>4</v>
      </c>
      <c r="J23">
        <f>MIN(F23:I23)</f>
        <v>2</v>
      </c>
      <c r="P23" s="78" t="str">
        <f>IF(COUNTA(K22:O22)=0,"No","Yes")</f>
        <v>No</v>
      </c>
      <c r="Q23" t="s">
        <v>315</v>
      </c>
    </row>
    <row r="24" spans="1:17" hidden="1" x14ac:dyDescent="0.35">
      <c r="A24" t="s">
        <v>318</v>
      </c>
      <c r="B24" s="74" t="s">
        <v>743</v>
      </c>
      <c r="C24" s="74" t="s">
        <v>744</v>
      </c>
      <c r="D24" s="5" t="s">
        <v>321</v>
      </c>
      <c r="P24" s="78" t="str">
        <f>IF(COUNTA(K25:O25)=0,"No","Yes")</f>
        <v>No</v>
      </c>
      <c r="Q24" t="s">
        <v>315</v>
      </c>
    </row>
    <row r="25" spans="1:17" ht="43.5" hidden="1" x14ac:dyDescent="0.35">
      <c r="B25" s="14"/>
      <c r="C25" s="66" t="s">
        <v>745</v>
      </c>
      <c r="D25" s="19"/>
      <c r="M25" s="97"/>
      <c r="P25" s="78" t="str">
        <f>IF(COUNTA(K25:O25)=0,"No","Yes")</f>
        <v>No</v>
      </c>
      <c r="Q25" t="s">
        <v>315</v>
      </c>
    </row>
    <row r="26" spans="1:17" ht="15" hidden="1" thickBot="1" x14ac:dyDescent="0.4">
      <c r="A26" s="29"/>
      <c r="B26" s="73"/>
      <c r="C26" s="82" t="s">
        <v>304</v>
      </c>
      <c r="D26" s="57"/>
      <c r="E26" s="29" t="str">
        <f>IF(D26=FR7_RA!$L$1,FR7_RA!$K$1,(IF(D26=FR7_RA!$L$2,FR7_RA!$K$2,(IF(D26=FR7_RA!$L$3,FR7_RA!$K$3,(IF(D26=FR7_RA!$L$4,FR7_RA!$K$4,FR7_RA!$K$5)))))))</f>
        <v/>
      </c>
      <c r="F26">
        <v>1</v>
      </c>
      <c r="G26">
        <v>2</v>
      </c>
      <c r="H26">
        <v>3</v>
      </c>
      <c r="I26">
        <v>4</v>
      </c>
      <c r="J26">
        <f>MIN(F26:I26)</f>
        <v>1</v>
      </c>
      <c r="P26" s="78" t="str">
        <f>IF(COUNTA(K25:O25)=0,"No","Yes")</f>
        <v>No</v>
      </c>
      <c r="Q26" t="s">
        <v>315</v>
      </c>
    </row>
    <row r="27" spans="1:17" hidden="1" x14ac:dyDescent="0.35">
      <c r="A27" t="s">
        <v>318</v>
      </c>
      <c r="B27" s="74" t="s">
        <v>746</v>
      </c>
      <c r="C27" s="74" t="s">
        <v>747</v>
      </c>
      <c r="D27" s="5" t="s">
        <v>321</v>
      </c>
      <c r="P27" s="78" t="str">
        <f>IF(COUNTA(K28:O28)=0,"No","Yes")</f>
        <v>No</v>
      </c>
      <c r="Q27" t="s">
        <v>315</v>
      </c>
    </row>
    <row r="28" spans="1:17" ht="29" hidden="1" x14ac:dyDescent="0.35">
      <c r="B28" s="14"/>
      <c r="C28" s="66" t="s">
        <v>748</v>
      </c>
      <c r="D28" s="19"/>
      <c r="M28" s="97"/>
      <c r="P28" s="78" t="str">
        <f>IF(COUNTA(K28:O28)=0,"No","Yes")</f>
        <v>No</v>
      </c>
      <c r="Q28" t="s">
        <v>315</v>
      </c>
    </row>
    <row r="29" spans="1:17" hidden="1" x14ac:dyDescent="0.35">
      <c r="B29" s="14"/>
      <c r="C29" s="74" t="s">
        <v>445</v>
      </c>
      <c r="D29" s="5"/>
      <c r="J29">
        <f>MIN(F29:I29)</f>
        <v>0</v>
      </c>
      <c r="P29" s="78" t="str">
        <f>IF(COUNTA(K28:O28)=0,"No","Yes")</f>
        <v>No</v>
      </c>
      <c r="Q29" t="s">
        <v>315</v>
      </c>
    </row>
    <row r="30" spans="1:17" hidden="1" x14ac:dyDescent="0.35">
      <c r="A30" s="30" t="s">
        <v>318</v>
      </c>
      <c r="B30" s="71" t="s">
        <v>749</v>
      </c>
      <c r="C30" s="71" t="s">
        <v>750</v>
      </c>
      <c r="D30" s="56" t="s">
        <v>321</v>
      </c>
      <c r="P30" s="78" t="str">
        <f>IF(COUNTA(K31:O31)=0,"No","Yes")</f>
        <v>No</v>
      </c>
      <c r="Q30" t="s">
        <v>315</v>
      </c>
    </row>
    <row r="31" spans="1:17" ht="58" hidden="1" x14ac:dyDescent="0.35">
      <c r="B31" s="14" t="s">
        <v>751</v>
      </c>
      <c r="C31" s="66" t="s">
        <v>752</v>
      </c>
      <c r="D31" s="19"/>
      <c r="M31" s="97"/>
      <c r="P31" s="78" t="str">
        <f>IF(COUNTA(K31:O31)=0,"No","Yes")</f>
        <v>No</v>
      </c>
      <c r="Q31" t="s">
        <v>315</v>
      </c>
    </row>
    <row r="32" spans="1:17" ht="43.5" hidden="1" x14ac:dyDescent="0.35">
      <c r="B32" s="14" t="s">
        <v>753</v>
      </c>
      <c r="C32" s="66" t="s">
        <v>754</v>
      </c>
      <c r="D32" s="19"/>
      <c r="M32" s="97"/>
      <c r="P32" s="78"/>
      <c r="Q32" t="s">
        <v>315</v>
      </c>
    </row>
    <row r="33" spans="1:17" ht="15" hidden="1" thickBot="1" x14ac:dyDescent="0.4">
      <c r="A33" s="29"/>
      <c r="B33" s="73"/>
      <c r="C33" s="82" t="s">
        <v>304</v>
      </c>
      <c r="D33" s="57"/>
      <c r="E33" s="29" t="str">
        <f>IF(D33=FR7_RA!$L$1,FR7_RA!$K$1,(IF(D33=FR7_RA!$L$2,FR7_RA!$K$2,(IF(D33=FR7_RA!$L$3,FR7_RA!$K$3,(IF(D33=FR7_RA!$L$4,FR7_RA!$K$4,FR7_RA!$K$5)))))))</f>
        <v/>
      </c>
      <c r="F33">
        <v>1</v>
      </c>
      <c r="G33">
        <v>2</v>
      </c>
      <c r="H33">
        <v>3</v>
      </c>
      <c r="I33">
        <v>4</v>
      </c>
      <c r="J33">
        <f>MIN(F33:I33)</f>
        <v>1</v>
      </c>
      <c r="P33" s="78" t="str">
        <f>IF(COUNTA(K31:O31)=0,"No","Yes")</f>
        <v>No</v>
      </c>
      <c r="Q33" t="s">
        <v>315</v>
      </c>
    </row>
    <row r="34" spans="1:17" hidden="1" x14ac:dyDescent="0.35">
      <c r="A34" t="s">
        <v>325</v>
      </c>
      <c r="B34" s="74" t="s">
        <v>755</v>
      </c>
      <c r="C34" s="74" t="s">
        <v>756</v>
      </c>
      <c r="D34" s="5" t="s">
        <v>321</v>
      </c>
      <c r="P34" s="78" t="str">
        <f>IF(COUNTA(K35:O35)=0,"No","Yes")</f>
        <v>No</v>
      </c>
      <c r="Q34" t="s">
        <v>315</v>
      </c>
    </row>
    <row r="35" spans="1:17" ht="43.5" hidden="1" x14ac:dyDescent="0.35">
      <c r="B35" s="14"/>
      <c r="C35" s="66" t="s">
        <v>757</v>
      </c>
      <c r="D35" s="19"/>
      <c r="M35" s="94"/>
      <c r="P35" s="78" t="str">
        <f>IF(COUNTA(K35:O35)=0,"No","Yes")</f>
        <v>No</v>
      </c>
      <c r="Q35" t="s">
        <v>315</v>
      </c>
    </row>
    <row r="36" spans="1:17" ht="15" hidden="1" thickBot="1" x14ac:dyDescent="0.4">
      <c r="A36" s="29"/>
      <c r="B36" s="73"/>
      <c r="C36" s="82" t="s">
        <v>304</v>
      </c>
      <c r="D36" s="57"/>
      <c r="E36" s="29" t="str">
        <f>IF(D36=FR7_RA!$L$1,FR7_RA!$K$1,(IF(D36=FR7_RA!$L$2,FR7_RA!$K$2,(IF(D36=FR7_RA!$L$3,FR7_RA!$K$3,(IF(D36=FR7_RA!$L$4,FR7_RA!$K$4,FR7_RA!$K$5)))))))</f>
        <v/>
      </c>
      <c r="H36">
        <v>3</v>
      </c>
      <c r="I36">
        <v>4</v>
      </c>
      <c r="J36">
        <f>MIN(F36:I36)</f>
        <v>3</v>
      </c>
      <c r="P36" s="78" t="str">
        <f>IF(COUNTA(K35:O35)=0,"No","Yes")</f>
        <v>No</v>
      </c>
      <c r="Q36" t="s">
        <v>315</v>
      </c>
    </row>
    <row r="37" spans="1:17" x14ac:dyDescent="0.35">
      <c r="A37" t="s">
        <v>318</v>
      </c>
      <c r="B37" s="74" t="s">
        <v>758</v>
      </c>
      <c r="C37" s="74" t="s">
        <v>759</v>
      </c>
      <c r="D37" s="5" t="s">
        <v>321</v>
      </c>
      <c r="P37" s="78" t="str">
        <f>IF(COUNTA(K38:O38)=0,"No","Yes")</f>
        <v>Yes</v>
      </c>
      <c r="Q37" t="s">
        <v>315</v>
      </c>
    </row>
    <row r="38" spans="1:17" ht="87" x14ac:dyDescent="0.35">
      <c r="B38" s="14"/>
      <c r="C38" s="66" t="s">
        <v>760</v>
      </c>
      <c r="D38" s="19"/>
      <c r="K38" s="5" t="s">
        <v>761</v>
      </c>
      <c r="M38" s="98" t="s">
        <v>762</v>
      </c>
      <c r="N38" s="5" t="s">
        <v>761</v>
      </c>
      <c r="P38" s="78" t="str">
        <f>IF(COUNTA(K38:O38)=0,"No","Yes")</f>
        <v>Yes</v>
      </c>
      <c r="Q38" t="s">
        <v>315</v>
      </c>
    </row>
    <row r="39" spans="1:17" ht="15" thickBot="1" x14ac:dyDescent="0.4">
      <c r="A39" s="29"/>
      <c r="B39" s="73"/>
      <c r="C39" s="82" t="s">
        <v>304</v>
      </c>
      <c r="D39" s="57" t="s">
        <v>301</v>
      </c>
      <c r="E39" s="29">
        <f>IF(D39=FR7_RA!$L$1,FR7_RA!$K$1,(IF(D39=FR7_RA!$L$2,FR7_RA!$K$2,(IF(D39=FR7_RA!$L$3,FR7_RA!$K$3,(IF(D39=FR7_RA!$L$4,FR7_RA!$K$4,FR7_RA!$K$5)))))))</f>
        <v>3</v>
      </c>
      <c r="F39">
        <v>1</v>
      </c>
      <c r="G39">
        <v>2</v>
      </c>
      <c r="H39">
        <v>3</v>
      </c>
      <c r="I39">
        <v>4</v>
      </c>
      <c r="J39">
        <f>MIN(F39:I39)</f>
        <v>1</v>
      </c>
      <c r="P39" s="78" t="str">
        <f>IF(COUNTA(K38:O38)=0,"No","Yes")</f>
        <v>Yes</v>
      </c>
      <c r="Q39" t="s">
        <v>315</v>
      </c>
    </row>
    <row r="40" spans="1:17" hidden="1" x14ac:dyDescent="0.35">
      <c r="A40" t="s">
        <v>318</v>
      </c>
      <c r="B40" s="74" t="s">
        <v>763</v>
      </c>
      <c r="C40" s="74" t="s">
        <v>764</v>
      </c>
      <c r="D40" s="5" t="s">
        <v>321</v>
      </c>
      <c r="P40" s="78" t="str">
        <f>IF(COUNTA(K41:O41)=0,"No","Yes")</f>
        <v>No</v>
      </c>
      <c r="Q40" t="s">
        <v>315</v>
      </c>
    </row>
    <row r="41" spans="1:17" ht="58" hidden="1" x14ac:dyDescent="0.35">
      <c r="B41" s="14"/>
      <c r="C41" s="66" t="s">
        <v>765</v>
      </c>
      <c r="D41" s="19" t="s">
        <v>766</v>
      </c>
      <c r="M41" s="94"/>
      <c r="P41" s="78" t="str">
        <f>IF(COUNTA(K41:O41)=0,"No","Yes")</f>
        <v>No</v>
      </c>
      <c r="Q41" t="s">
        <v>315</v>
      </c>
    </row>
    <row r="42" spans="1:17" ht="15" hidden="1" thickBot="1" x14ac:dyDescent="0.4">
      <c r="A42" s="29"/>
      <c r="B42" s="73"/>
      <c r="C42" s="82" t="s">
        <v>304</v>
      </c>
      <c r="D42" s="57"/>
      <c r="E42" s="29" t="str">
        <f>IF(D42=FR7_RA!$L$1,FR7_RA!$K$1,(IF(D42=FR7_RA!$L$2,FR7_RA!$K$2,(IF(D42=FR7_RA!$L$3,FR7_RA!$K$3,(IF(D42=FR7_RA!$L$4,FR7_RA!$K$4,FR7_RA!$K$5)))))))</f>
        <v/>
      </c>
      <c r="G42">
        <v>2</v>
      </c>
      <c r="H42">
        <v>3</v>
      </c>
      <c r="I42">
        <v>4</v>
      </c>
      <c r="J42">
        <f>MIN(F42:I42)</f>
        <v>2</v>
      </c>
      <c r="P42" s="78" t="str">
        <f>IF(COUNTA(K41:O41)=0,"No","Yes")</f>
        <v>No</v>
      </c>
      <c r="Q42" t="s">
        <v>315</v>
      </c>
    </row>
    <row r="43" spans="1:17" x14ac:dyDescent="0.35">
      <c r="P43" s="78"/>
    </row>
    <row r="44" spans="1:17" x14ac:dyDescent="0.35">
      <c r="P44" s="78"/>
    </row>
    <row r="45" spans="1:17" x14ac:dyDescent="0.35">
      <c r="P45" s="78"/>
    </row>
    <row r="46" spans="1:17" x14ac:dyDescent="0.35">
      <c r="P46" s="78"/>
    </row>
    <row r="47" spans="1:17" x14ac:dyDescent="0.35">
      <c r="P47" s="78"/>
    </row>
    <row r="48" spans="1:17" x14ac:dyDescent="0.35">
      <c r="P48" s="78"/>
    </row>
    <row r="49" spans="16:16" x14ac:dyDescent="0.35">
      <c r="P49" s="78"/>
    </row>
    <row r="50" spans="16:16" x14ac:dyDescent="0.35">
      <c r="P50" s="78"/>
    </row>
    <row r="51" spans="16:16" x14ac:dyDescent="0.35">
      <c r="P51" s="78"/>
    </row>
    <row r="52" spans="16:16" x14ac:dyDescent="0.35">
      <c r="P52" s="78"/>
    </row>
    <row r="53" spans="16:16" x14ac:dyDescent="0.35">
      <c r="P53" s="78"/>
    </row>
    <row r="54" spans="16:16" x14ac:dyDescent="0.35">
      <c r="P54" s="78"/>
    </row>
    <row r="55" spans="16:16" x14ac:dyDescent="0.35">
      <c r="P55" s="78"/>
    </row>
    <row r="56" spans="16:16" x14ac:dyDescent="0.35">
      <c r="P56" s="78"/>
    </row>
    <row r="57" spans="16:16" x14ac:dyDescent="0.35">
      <c r="P57" s="78"/>
    </row>
    <row r="58" spans="16:16" x14ac:dyDescent="0.35">
      <c r="P58" s="78"/>
    </row>
    <row r="59" spans="16:16" x14ac:dyDescent="0.35">
      <c r="P59" s="78"/>
    </row>
    <row r="60" spans="16:16" x14ac:dyDescent="0.35">
      <c r="P60" s="78"/>
    </row>
    <row r="61" spans="16:16" x14ac:dyDescent="0.35">
      <c r="P61" s="78"/>
    </row>
    <row r="62" spans="16:16" x14ac:dyDescent="0.35">
      <c r="P62" s="78"/>
    </row>
    <row r="63" spans="16:16" x14ac:dyDescent="0.35">
      <c r="P63" s="78"/>
    </row>
    <row r="64" spans="16:16" x14ac:dyDescent="0.35">
      <c r="P64" s="78"/>
    </row>
    <row r="65" spans="16:16" x14ac:dyDescent="0.35">
      <c r="P65" s="78"/>
    </row>
    <row r="66" spans="16:16" x14ac:dyDescent="0.35">
      <c r="P66" s="78"/>
    </row>
    <row r="67" spans="16:16" x14ac:dyDescent="0.35">
      <c r="P67" s="78"/>
    </row>
    <row r="68" spans="16:16" x14ac:dyDescent="0.35">
      <c r="P68" s="78"/>
    </row>
    <row r="69" spans="16:16" x14ac:dyDescent="0.35">
      <c r="P69" s="78"/>
    </row>
    <row r="70" spans="16:16" x14ac:dyDescent="0.35">
      <c r="P70" s="78"/>
    </row>
    <row r="71" spans="16:16" x14ac:dyDescent="0.35">
      <c r="P71" s="78"/>
    </row>
    <row r="72" spans="16:16" x14ac:dyDescent="0.35">
      <c r="P72" s="78"/>
    </row>
    <row r="73" spans="16:16" x14ac:dyDescent="0.35">
      <c r="P73" s="78"/>
    </row>
    <row r="74" spans="16:16" x14ac:dyDescent="0.35">
      <c r="P74" s="78"/>
    </row>
    <row r="75" spans="16:16" x14ac:dyDescent="0.35">
      <c r="P75" s="78"/>
    </row>
    <row r="76" spans="16:16" x14ac:dyDescent="0.35">
      <c r="P76" s="78"/>
    </row>
    <row r="77" spans="16:16" x14ac:dyDescent="0.35">
      <c r="P77" s="78"/>
    </row>
    <row r="78" spans="16:16" x14ac:dyDescent="0.35">
      <c r="P78" s="78"/>
    </row>
    <row r="79" spans="16:16" x14ac:dyDescent="0.35">
      <c r="P79" s="78"/>
    </row>
    <row r="80" spans="16:16" x14ac:dyDescent="0.35">
      <c r="P80" s="78"/>
    </row>
    <row r="81" spans="16:16" x14ac:dyDescent="0.35">
      <c r="P81" s="78"/>
    </row>
    <row r="82" spans="16:16" x14ac:dyDescent="0.35">
      <c r="P82" s="78"/>
    </row>
    <row r="83" spans="16:16" x14ac:dyDescent="0.35">
      <c r="P83" s="78"/>
    </row>
    <row r="84" spans="16:16" x14ac:dyDescent="0.35">
      <c r="P84" s="78"/>
    </row>
    <row r="85" spans="16:16" x14ac:dyDescent="0.35">
      <c r="P85" s="78"/>
    </row>
    <row r="86" spans="16:16" x14ac:dyDescent="0.35">
      <c r="P86" s="78"/>
    </row>
    <row r="87" spans="16:16" x14ac:dyDescent="0.35">
      <c r="P87" s="78"/>
    </row>
    <row r="88" spans="16:16" x14ac:dyDescent="0.35">
      <c r="P88" s="78"/>
    </row>
    <row r="89" spans="16:16" x14ac:dyDescent="0.35">
      <c r="P89" s="78"/>
    </row>
    <row r="90" spans="16:16" x14ac:dyDescent="0.35">
      <c r="P90" s="78"/>
    </row>
    <row r="91" spans="16:16" x14ac:dyDescent="0.35">
      <c r="P91" s="78"/>
    </row>
    <row r="92" spans="16:16" x14ac:dyDescent="0.35">
      <c r="P92" s="78"/>
    </row>
    <row r="93" spans="16:16" x14ac:dyDescent="0.35">
      <c r="P93" s="78"/>
    </row>
    <row r="94" spans="16:16" x14ac:dyDescent="0.35">
      <c r="P94" s="78"/>
    </row>
    <row r="95" spans="16:16" x14ac:dyDescent="0.35">
      <c r="P95" s="78"/>
    </row>
    <row r="96" spans="16:16" x14ac:dyDescent="0.35">
      <c r="P96" s="78"/>
    </row>
    <row r="97" spans="16:16" x14ac:dyDescent="0.35">
      <c r="P97" s="78"/>
    </row>
    <row r="98" spans="16:16" x14ac:dyDescent="0.35">
      <c r="P98" s="78"/>
    </row>
    <row r="99" spans="16:16" x14ac:dyDescent="0.35">
      <c r="P99" s="78"/>
    </row>
    <row r="100" spans="16:16" x14ac:dyDescent="0.35">
      <c r="P100" s="78"/>
    </row>
    <row r="101" spans="16:16" x14ac:dyDescent="0.35">
      <c r="P101" s="78"/>
    </row>
    <row r="102" spans="16:16" x14ac:dyDescent="0.35">
      <c r="P102" s="78"/>
    </row>
    <row r="103" spans="16:16" x14ac:dyDescent="0.35">
      <c r="P103" s="78"/>
    </row>
    <row r="104" spans="16:16" x14ac:dyDescent="0.35">
      <c r="P104" s="78"/>
    </row>
    <row r="105" spans="16:16" x14ac:dyDescent="0.35">
      <c r="P105" s="78"/>
    </row>
    <row r="106" spans="16:16" x14ac:dyDescent="0.35">
      <c r="P106" s="78"/>
    </row>
    <row r="107" spans="16:16" x14ac:dyDescent="0.35">
      <c r="P107" s="78"/>
    </row>
    <row r="108" spans="16:16" x14ac:dyDescent="0.35">
      <c r="P108" s="78"/>
    </row>
    <row r="109" spans="16:16" x14ac:dyDescent="0.35">
      <c r="P109" s="78"/>
    </row>
    <row r="110" spans="16:16" x14ac:dyDescent="0.35">
      <c r="P110" s="78"/>
    </row>
    <row r="111" spans="16:16" x14ac:dyDescent="0.35">
      <c r="P111" s="78"/>
    </row>
    <row r="112" spans="16:16" x14ac:dyDescent="0.35">
      <c r="P112" s="78"/>
    </row>
    <row r="113" spans="16:16" x14ac:dyDescent="0.35">
      <c r="P113" s="78"/>
    </row>
    <row r="114" spans="16:16" x14ac:dyDescent="0.35">
      <c r="P114" s="78"/>
    </row>
    <row r="115" spans="16:16" x14ac:dyDescent="0.35">
      <c r="P115" s="78"/>
    </row>
    <row r="116" spans="16:16" x14ac:dyDescent="0.35">
      <c r="P116" s="78"/>
    </row>
    <row r="117" spans="16:16" x14ac:dyDescent="0.35">
      <c r="P117" s="78"/>
    </row>
    <row r="118" spans="16:16" x14ac:dyDescent="0.35">
      <c r="P118" s="78"/>
    </row>
    <row r="119" spans="16:16" x14ac:dyDescent="0.35">
      <c r="P119" s="78"/>
    </row>
    <row r="120" spans="16:16" x14ac:dyDescent="0.35">
      <c r="P120" s="78"/>
    </row>
    <row r="121" spans="16:16" x14ac:dyDescent="0.35">
      <c r="P121" s="78"/>
    </row>
    <row r="122" spans="16:16" x14ac:dyDescent="0.35">
      <c r="P122" s="78"/>
    </row>
    <row r="123" spans="16:16" x14ac:dyDescent="0.35">
      <c r="P123" s="78"/>
    </row>
    <row r="124" spans="16:16" x14ac:dyDescent="0.35">
      <c r="P124" s="78"/>
    </row>
    <row r="125" spans="16:16" x14ac:dyDescent="0.35">
      <c r="P125" s="78"/>
    </row>
    <row r="126" spans="16:16" x14ac:dyDescent="0.35">
      <c r="P126" s="78"/>
    </row>
    <row r="127" spans="16:16" x14ac:dyDescent="0.35">
      <c r="P127" s="78"/>
    </row>
    <row r="128" spans="16:16" x14ac:dyDescent="0.35">
      <c r="P128" s="78"/>
    </row>
    <row r="129" spans="16:16" x14ac:dyDescent="0.35">
      <c r="P129" s="78"/>
    </row>
    <row r="130" spans="16:16" x14ac:dyDescent="0.35">
      <c r="P130" s="78"/>
    </row>
    <row r="131" spans="16:16" x14ac:dyDescent="0.35">
      <c r="P131" s="78"/>
    </row>
    <row r="132" spans="16:16" x14ac:dyDescent="0.35">
      <c r="P132" s="78"/>
    </row>
    <row r="133" spans="16:16" x14ac:dyDescent="0.35">
      <c r="P133" s="78"/>
    </row>
    <row r="134" spans="16:16" x14ac:dyDescent="0.35">
      <c r="P134" s="78"/>
    </row>
    <row r="135" spans="16:16" x14ac:dyDescent="0.35">
      <c r="P135" s="78"/>
    </row>
  </sheetData>
  <autoFilter ref="P6:P42" xr:uid="{00000000-0001-0000-0800-000000000000}">
    <filterColumn colId="0">
      <filters>
        <filter val="Yes"/>
      </filters>
    </filterColumn>
  </autoFilter>
  <conditionalFormatting sqref="E11">
    <cfRule type="cellIs" dxfId="185" priority="34" operator="between">
      <formula>2.75</formula>
      <formula>3</formula>
    </cfRule>
    <cfRule type="cellIs" dxfId="184" priority="35" operator="between">
      <formula>1.75</formula>
      <formula>2.75</formula>
    </cfRule>
    <cfRule type="cellIs" dxfId="183" priority="36" operator="equal">
      <formula>0</formula>
    </cfRule>
  </conditionalFormatting>
  <conditionalFormatting sqref="E14">
    <cfRule type="cellIs" dxfId="182" priority="31" operator="between">
      <formula>2.75</formula>
      <formula>3</formula>
    </cfRule>
    <cfRule type="cellIs" dxfId="181" priority="32" operator="between">
      <formula>1.75</formula>
      <formula>2.75</formula>
    </cfRule>
    <cfRule type="cellIs" dxfId="180" priority="33" operator="equal">
      <formula>0</formula>
    </cfRule>
  </conditionalFormatting>
  <conditionalFormatting sqref="E17">
    <cfRule type="cellIs" dxfId="179" priority="28" operator="between">
      <formula>2.75</formula>
      <formula>3</formula>
    </cfRule>
    <cfRule type="cellIs" dxfId="178" priority="29" operator="between">
      <formula>1.75</formula>
      <formula>2.75</formula>
    </cfRule>
    <cfRule type="cellIs" dxfId="177" priority="30" operator="equal">
      <formula>0</formula>
    </cfRule>
  </conditionalFormatting>
  <conditionalFormatting sqref="E20">
    <cfRule type="cellIs" dxfId="176" priority="25" operator="between">
      <formula>2.75</formula>
      <formula>3</formula>
    </cfRule>
    <cfRule type="cellIs" dxfId="175" priority="26" operator="between">
      <formula>1.75</formula>
      <formula>2.75</formula>
    </cfRule>
    <cfRule type="cellIs" dxfId="174" priority="27" operator="equal">
      <formula>0</formula>
    </cfRule>
  </conditionalFormatting>
  <conditionalFormatting sqref="E23">
    <cfRule type="cellIs" dxfId="173" priority="22" operator="between">
      <formula>2.75</formula>
      <formula>3</formula>
    </cfRule>
    <cfRule type="cellIs" dxfId="172" priority="23" operator="between">
      <formula>1.75</formula>
      <formula>2.75</formula>
    </cfRule>
    <cfRule type="cellIs" dxfId="171" priority="24" operator="equal">
      <formula>0</formula>
    </cfRule>
  </conditionalFormatting>
  <conditionalFormatting sqref="E26">
    <cfRule type="cellIs" dxfId="170" priority="19" operator="between">
      <formula>2.75</formula>
      <formula>3</formula>
    </cfRule>
    <cfRule type="cellIs" dxfId="169" priority="20" operator="between">
      <formula>1.75</formula>
      <formula>2.75</formula>
    </cfRule>
    <cfRule type="cellIs" dxfId="168" priority="21" operator="equal">
      <formula>0</formula>
    </cfRule>
  </conditionalFormatting>
  <conditionalFormatting sqref="E33">
    <cfRule type="cellIs" dxfId="167" priority="13" operator="between">
      <formula>2.75</formula>
      <formula>3</formula>
    </cfRule>
    <cfRule type="cellIs" dxfId="166" priority="14" operator="between">
      <formula>1.75</formula>
      <formula>2.75</formula>
    </cfRule>
    <cfRule type="cellIs" dxfId="165" priority="15" operator="equal">
      <formula>0</formula>
    </cfRule>
  </conditionalFormatting>
  <conditionalFormatting sqref="E36">
    <cfRule type="cellIs" dxfId="164" priority="10" operator="between">
      <formula>2.75</formula>
      <formula>3</formula>
    </cfRule>
    <cfRule type="cellIs" dxfId="163" priority="11" operator="between">
      <formula>1.75</formula>
      <formula>2.75</formula>
    </cfRule>
    <cfRule type="cellIs" dxfId="162" priority="12" operator="equal">
      <formula>0</formula>
    </cfRule>
  </conditionalFormatting>
  <conditionalFormatting sqref="E39">
    <cfRule type="cellIs" dxfId="161" priority="7" operator="between">
      <formula>2.75</formula>
      <formula>3</formula>
    </cfRule>
    <cfRule type="cellIs" dxfId="160" priority="8" operator="between">
      <formula>1.75</formula>
      <formula>2.75</formula>
    </cfRule>
    <cfRule type="cellIs" dxfId="159" priority="9" operator="equal">
      <formula>0</formula>
    </cfRule>
  </conditionalFormatting>
  <conditionalFormatting sqref="E42">
    <cfRule type="cellIs" dxfId="158" priority="4" operator="between">
      <formula>2.75</formula>
      <formula>3</formula>
    </cfRule>
    <cfRule type="cellIs" dxfId="157" priority="5" operator="between">
      <formula>1.75</formula>
      <formula>2.75</formula>
    </cfRule>
    <cfRule type="cellIs" dxfId="156" priority="6" operator="equal">
      <formula>0</formula>
    </cfRule>
  </conditionalFormatting>
  <conditionalFormatting sqref="F7:I7">
    <cfRule type="cellIs" dxfId="155" priority="1" operator="equal">
      <formula>3</formula>
    </cfRule>
    <cfRule type="cellIs" dxfId="154" priority="2" operator="between">
      <formula>2</formula>
      <formula>3</formula>
    </cfRule>
    <cfRule type="cellIs" dxfId="153" priority="3" operator="between">
      <formula>0</formula>
      <formula>2</formula>
    </cfRule>
  </conditionalFormatting>
  <conditionalFormatting sqref="K1:K4">
    <cfRule type="cellIs" dxfId="152" priority="37" stopIfTrue="1" operator="between">
      <formula>2.75</formula>
      <formula>3</formula>
    </cfRule>
    <cfRule type="cellIs" dxfId="151" priority="38" stopIfTrue="1" operator="between">
      <formula>1.5</formula>
      <formula>2.75</formula>
    </cfRule>
    <cfRule type="cellIs" dxfId="150" priority="39" stopIfTrue="1" operator="between">
      <formula>0</formula>
      <formula>1.5</formula>
    </cfRule>
  </conditionalFormatting>
  <dataValidations count="1">
    <dataValidation type="list" allowBlank="1" showInputMessage="1" showErrorMessage="1" sqref="D11 D14 D17 D20 D23 D26 D29 D33 D36 D39 D42" xr:uid="{00000000-0002-0000-0800-000000000000}">
      <formula1>Rating</formula1>
    </dataValidation>
  </dataValidations>
  <pageMargins left="0.7" right="0.7" top="0.75" bottom="0.75" header="0.3" footer="0.3"/>
  <pageSetup paperSize="9" orientation="portrait" horizontalDpi="300" r:id="rId1"/>
  <customProperties>
    <customPr name="_pios_id" r:id="rId2"/>
  </customProperties>
  <drawing r:id="rId3"/>
  <legacyDrawing r:id="rId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7595-7CA9-4C62-95D5-4254E9ED1F7F}">
  <dimension ref="A1:P104"/>
  <sheetViews>
    <sheetView workbookViewId="0">
      <pane ySplit="7" topLeftCell="A8" activePane="bottomLeft" state="frozen"/>
      <selection pane="bottomLeft" activeCell="C26" sqref="C26"/>
    </sheetView>
  </sheetViews>
  <sheetFormatPr defaultColWidth="8.6328125" defaultRowHeight="14.5" x14ac:dyDescent="0.35"/>
  <cols>
    <col min="3" max="3" width="48.6328125" customWidth="1"/>
    <col min="4" max="4" width="42.453125" customWidth="1"/>
    <col min="11" max="11" width="10.453125" customWidth="1"/>
    <col min="13" max="13" width="24.6328125" customWidth="1"/>
    <col min="14" max="14" width="10.36328125" customWidth="1"/>
  </cols>
  <sheetData>
    <row r="1" spans="1:16" x14ac:dyDescent="0.35">
      <c r="A1" s="1" t="s">
        <v>767</v>
      </c>
      <c r="F1" s="4"/>
      <c r="G1" s="4"/>
      <c r="H1" s="4"/>
      <c r="I1" s="4"/>
      <c r="J1" s="9" t="s">
        <v>88</v>
      </c>
      <c r="K1" s="9">
        <v>3</v>
      </c>
      <c r="L1" t="s">
        <v>301</v>
      </c>
      <c r="M1" s="2"/>
      <c r="N1" s="2"/>
      <c r="O1" s="2"/>
      <c r="P1" s="2"/>
    </row>
    <row r="2" spans="1:16" x14ac:dyDescent="0.35">
      <c r="A2" s="2" t="s">
        <v>8</v>
      </c>
      <c r="F2" s="16" t="s">
        <v>302</v>
      </c>
      <c r="G2" s="4"/>
      <c r="H2" s="4"/>
      <c r="I2" s="4"/>
      <c r="K2" s="9">
        <v>2</v>
      </c>
      <c r="L2" t="s">
        <v>303</v>
      </c>
      <c r="M2" s="2"/>
      <c r="N2" s="2"/>
      <c r="O2" s="2"/>
      <c r="P2" s="2"/>
    </row>
    <row r="3" spans="1:16" x14ac:dyDescent="0.35">
      <c r="A3" s="2" t="s">
        <v>768</v>
      </c>
      <c r="F3" t="s">
        <v>304</v>
      </c>
      <c r="G3" s="4"/>
      <c r="H3" s="4"/>
      <c r="I3" s="4"/>
      <c r="K3" s="9">
        <v>0</v>
      </c>
      <c r="L3" t="s">
        <v>305</v>
      </c>
      <c r="M3" s="2"/>
      <c r="N3" s="2"/>
      <c r="O3" s="2"/>
      <c r="P3" s="2"/>
    </row>
    <row r="4" spans="1:16" x14ac:dyDescent="0.35">
      <c r="A4" s="2" t="s">
        <v>10</v>
      </c>
      <c r="B4" s="2"/>
      <c r="C4" s="2" t="s">
        <v>769</v>
      </c>
      <c r="F4" s="4"/>
      <c r="G4" s="4"/>
      <c r="H4" s="4"/>
      <c r="I4" s="4"/>
      <c r="K4" s="9" t="s">
        <v>306</v>
      </c>
      <c r="L4" t="s">
        <v>307</v>
      </c>
      <c r="M4" s="2"/>
      <c r="N4" s="2"/>
      <c r="O4" s="2"/>
      <c r="P4" s="2"/>
    </row>
    <row r="5" spans="1:16" x14ac:dyDescent="0.35">
      <c r="F5" s="4"/>
      <c r="G5" s="4"/>
      <c r="H5" s="4"/>
      <c r="I5" s="4"/>
      <c r="J5" s="3"/>
      <c r="K5" s="17" t="s">
        <v>32</v>
      </c>
      <c r="L5" s="2"/>
      <c r="M5" s="2"/>
      <c r="N5" s="2"/>
      <c r="O5" s="2"/>
      <c r="P5">
        <v>3</v>
      </c>
    </row>
    <row r="6" spans="1:16" ht="43.5" x14ac:dyDescent="0.35">
      <c r="A6" s="31"/>
      <c r="B6" s="31"/>
      <c r="C6" s="31"/>
      <c r="D6" s="31"/>
      <c r="E6" s="31"/>
      <c r="F6" s="40" t="s">
        <v>23</v>
      </c>
      <c r="G6" s="40" t="s">
        <v>26</v>
      </c>
      <c r="H6" s="40" t="s">
        <v>28</v>
      </c>
      <c r="I6" s="40" t="s">
        <v>30</v>
      </c>
      <c r="J6" s="43" t="s">
        <v>94</v>
      </c>
      <c r="K6" s="61" t="s">
        <v>182</v>
      </c>
      <c r="L6" s="60" t="s">
        <v>308</v>
      </c>
      <c r="M6" s="60" t="s">
        <v>309</v>
      </c>
      <c r="N6" s="60" t="s">
        <v>310</v>
      </c>
      <c r="O6" s="60" t="s">
        <v>311</v>
      </c>
      <c r="P6" s="77" t="s">
        <v>420</v>
      </c>
    </row>
    <row r="7" spans="1:16" x14ac:dyDescent="0.35">
      <c r="A7" s="1" t="s">
        <v>770</v>
      </c>
      <c r="B7" s="2"/>
      <c r="F7" s="42" t="str">
        <f>IFERROR(AVERAGE(#REF!,#REF!,#REF!,#REF!,E18,#REF!),"n/a")</f>
        <v>n/a</v>
      </c>
      <c r="G7" s="42" t="str">
        <f>IFERROR(AVERAGE(#REF!,#REF!,#REF!,#REF!,#REF!,#REF!,E18,#REF!,#REF!),"n/a")</f>
        <v>n/a</v>
      </c>
      <c r="H7" s="42" t="str">
        <f>IFERROR(AVERAGE(#REF!,#REF!,#REF!,#REF!,#REF!,#REF!,E18,#REF!,#REF!,#REF!),"n/a")</f>
        <v>n/a</v>
      </c>
      <c r="I7" s="42" t="str">
        <f>IFERROR(AVERAGE(#REF!,#REF!,#REF!,#REF!,#REF!,#REF!,E18,#REF!,#REF!,#REF!),"n/a")</f>
        <v>n/a</v>
      </c>
      <c r="P7" s="78" t="s">
        <v>315</v>
      </c>
    </row>
    <row r="8" spans="1:16" ht="87" x14ac:dyDescent="0.35">
      <c r="A8" s="1"/>
      <c r="B8" s="18"/>
      <c r="C8" s="18" t="s">
        <v>771</v>
      </c>
      <c r="D8" s="20" t="s">
        <v>317</v>
      </c>
      <c r="P8" s="78" t="s">
        <v>315</v>
      </c>
    </row>
    <row r="9" spans="1:16" x14ac:dyDescent="0.35">
      <c r="A9" s="30" t="s">
        <v>772</v>
      </c>
      <c r="B9" s="71" t="s">
        <v>196</v>
      </c>
      <c r="C9" s="84" t="s">
        <v>770</v>
      </c>
      <c r="D9" s="56" t="s">
        <v>321</v>
      </c>
      <c r="P9" s="78" t="str">
        <f>IF(COUNTA(K10:O10)=0,"No","Yes")</f>
        <v>No</v>
      </c>
    </row>
    <row r="10" spans="1:16" ht="101.5" x14ac:dyDescent="0.35">
      <c r="B10" s="14" t="s">
        <v>773</v>
      </c>
      <c r="C10" s="62" t="s">
        <v>774</v>
      </c>
      <c r="D10" s="19"/>
      <c r="K10" s="5"/>
      <c r="N10" s="5"/>
      <c r="P10" s="78" t="str">
        <f t="shared" ref="P10:P17" si="0">IF(COUNTA(K10:O10)=0,"No","Yes")</f>
        <v>No</v>
      </c>
    </row>
    <row r="11" spans="1:16" ht="72.5" x14ac:dyDescent="0.35">
      <c r="B11" s="14" t="s">
        <v>775</v>
      </c>
      <c r="C11" s="66" t="s">
        <v>776</v>
      </c>
      <c r="D11" s="19"/>
      <c r="P11" s="78" t="str">
        <f t="shared" si="0"/>
        <v>No</v>
      </c>
    </row>
    <row r="12" spans="1:16" ht="87" x14ac:dyDescent="0.35">
      <c r="B12" s="14" t="s">
        <v>777</v>
      </c>
      <c r="C12" s="66" t="s">
        <v>778</v>
      </c>
      <c r="D12" s="19"/>
      <c r="P12" s="78" t="str">
        <f t="shared" si="0"/>
        <v>No</v>
      </c>
    </row>
    <row r="13" spans="1:16" ht="101.5" x14ac:dyDescent="0.35">
      <c r="B13" s="14" t="s">
        <v>779</v>
      </c>
      <c r="C13" s="66" t="s">
        <v>780</v>
      </c>
      <c r="D13" s="19"/>
      <c r="P13" s="78" t="str">
        <f t="shared" si="0"/>
        <v>No</v>
      </c>
    </row>
    <row r="14" spans="1:16" ht="72.5" x14ac:dyDescent="0.35">
      <c r="B14" s="14" t="s">
        <v>781</v>
      </c>
      <c r="C14" s="66" t="s">
        <v>782</v>
      </c>
      <c r="D14" s="19"/>
      <c r="P14" s="78" t="str">
        <f t="shared" si="0"/>
        <v>No</v>
      </c>
    </row>
    <row r="15" spans="1:16" ht="47.25" customHeight="1" x14ac:dyDescent="0.35">
      <c r="B15" s="14" t="s">
        <v>783</v>
      </c>
      <c r="C15" s="66" t="s">
        <v>784</v>
      </c>
      <c r="D15" s="19"/>
      <c r="P15" s="78" t="str">
        <f t="shared" si="0"/>
        <v>No</v>
      </c>
    </row>
    <row r="16" spans="1:16" ht="58" x14ac:dyDescent="0.35">
      <c r="B16" s="14" t="s">
        <v>785</v>
      </c>
      <c r="C16" s="66" t="s">
        <v>786</v>
      </c>
      <c r="D16" s="19"/>
      <c r="P16" s="78" t="str">
        <f t="shared" si="0"/>
        <v>No</v>
      </c>
    </row>
    <row r="17" spans="1:16" ht="58" x14ac:dyDescent="0.35">
      <c r="B17" s="14" t="s">
        <v>787</v>
      </c>
      <c r="C17" s="66" t="s">
        <v>788</v>
      </c>
      <c r="D17" s="19"/>
      <c r="P17" s="78" t="str">
        <f t="shared" si="0"/>
        <v>No</v>
      </c>
    </row>
    <row r="18" spans="1:16" ht="15" thickBot="1" x14ac:dyDescent="0.4">
      <c r="A18" s="29"/>
      <c r="B18" s="73"/>
      <c r="C18" s="82" t="s">
        <v>304</v>
      </c>
      <c r="D18" s="57"/>
      <c r="E18" s="29" t="str">
        <f>IF(D18=FSA_CCSC!$L$1,FSA_CCSC!$K$1,(IF(D18=FSA_CCSC!$L$2,FSA_CCSC!$K$2,(IF(D18=FSA_CCSC!$L$3,FSA_CCSC!$K$3,(IF(D18=FSA_CCSC!$L$4,FSA_CCSC!$K$4,FSA_CCSC!$K$5)))))))</f>
        <v/>
      </c>
      <c r="F18">
        <v>1</v>
      </c>
      <c r="G18">
        <v>2</v>
      </c>
      <c r="H18">
        <v>3</v>
      </c>
      <c r="I18">
        <v>4</v>
      </c>
      <c r="J18">
        <f>MIN(F18:I18)</f>
        <v>1</v>
      </c>
      <c r="P18" s="78" t="str">
        <f>IF(COUNTA(K17:O17)=0,"No","Yes")</f>
        <v>No</v>
      </c>
    </row>
    <row r="19" spans="1:16" x14ac:dyDescent="0.35">
      <c r="A19" s="30" t="s">
        <v>772</v>
      </c>
      <c r="B19" s="71" t="s">
        <v>198</v>
      </c>
      <c r="C19" s="84" t="s">
        <v>789</v>
      </c>
      <c r="D19" s="56" t="s">
        <v>321</v>
      </c>
      <c r="P19" s="78" t="str">
        <f>IF(COUNTA(K20:O20)=0,"No","Yes")</f>
        <v>No</v>
      </c>
    </row>
    <row r="20" spans="1:16" ht="116" x14ac:dyDescent="0.35">
      <c r="B20" s="14"/>
      <c r="C20" s="62" t="s">
        <v>790</v>
      </c>
      <c r="D20" s="19"/>
      <c r="K20" s="5"/>
      <c r="N20" s="5"/>
      <c r="P20" s="78" t="str">
        <f>IF(COUNTA(K20:O20)=0,"No","Yes")</f>
        <v>No</v>
      </c>
    </row>
    <row r="21" spans="1:16" ht="15" thickBot="1" x14ac:dyDescent="0.4">
      <c r="A21" s="29"/>
      <c r="B21" s="73"/>
      <c r="C21" s="82" t="s">
        <v>304</v>
      </c>
      <c r="D21" s="57"/>
      <c r="E21" s="29" t="str">
        <f>IF(D21=FSA_CCSC!$L$1,FSA_CCSC!$K$1,(IF(D21=FSA_CCSC!$L$2,FSA_CCSC!$K$2,(IF(D21=FSA_CCSC!$L$3,FSA_CCSC!$K$3,(IF(D21=FSA_CCSC!$L$4,FSA_CCSC!$K$4,FSA_CCSC!$K$5)))))))</f>
        <v/>
      </c>
      <c r="F21">
        <v>1</v>
      </c>
      <c r="G21">
        <v>2</v>
      </c>
      <c r="H21">
        <v>3</v>
      </c>
      <c r="I21">
        <v>4</v>
      </c>
      <c r="J21">
        <f>MIN(F21:I21)</f>
        <v>1</v>
      </c>
      <c r="P21" s="78" t="str">
        <f t="shared" ref="P21:P27" si="1">IF(COUNTA(K21:O21)=0,"No","Yes")</f>
        <v>No</v>
      </c>
    </row>
    <row r="22" spans="1:16" x14ac:dyDescent="0.35">
      <c r="A22" s="30" t="s">
        <v>772</v>
      </c>
      <c r="B22" s="71" t="s">
        <v>200</v>
      </c>
      <c r="C22" s="84" t="s">
        <v>791</v>
      </c>
      <c r="D22" s="56" t="s">
        <v>321</v>
      </c>
      <c r="P22" s="78" t="str">
        <f t="shared" si="1"/>
        <v>No</v>
      </c>
    </row>
    <row r="23" spans="1:16" ht="136.5" customHeight="1" x14ac:dyDescent="0.35">
      <c r="B23" s="14"/>
      <c r="C23" s="62" t="s">
        <v>792</v>
      </c>
      <c r="D23" s="19"/>
      <c r="K23" s="5"/>
      <c r="N23" s="5"/>
      <c r="P23" s="78" t="str">
        <f t="shared" si="1"/>
        <v>No</v>
      </c>
    </row>
    <row r="24" spans="1:16" ht="15" thickBot="1" x14ac:dyDescent="0.4">
      <c r="A24" s="29"/>
      <c r="B24" s="73"/>
      <c r="C24" s="82" t="s">
        <v>304</v>
      </c>
      <c r="D24" s="57"/>
      <c r="E24" s="29" t="str">
        <f>IF(D24=FSA_CCSC!$L$1,FSA_CCSC!$K$1,(IF(D24=FSA_CCSC!$L$2,FSA_CCSC!$K$2,(IF(D24=FSA_CCSC!$L$3,FSA_CCSC!$K$3,(IF(D24=FSA_CCSC!$L$4,FSA_CCSC!$K$4,FSA_CCSC!$K$5)))))))</f>
        <v/>
      </c>
      <c r="F24">
        <v>1</v>
      </c>
      <c r="G24">
        <v>2</v>
      </c>
      <c r="H24">
        <v>3</v>
      </c>
      <c r="I24">
        <v>4</v>
      </c>
      <c r="J24">
        <f>MIN(F24:I24)</f>
        <v>1</v>
      </c>
      <c r="P24" s="78" t="str">
        <f t="shared" si="1"/>
        <v>No</v>
      </c>
    </row>
    <row r="25" spans="1:16" x14ac:dyDescent="0.35">
      <c r="A25" s="30" t="s">
        <v>772</v>
      </c>
      <c r="B25" s="71" t="s">
        <v>201</v>
      </c>
      <c r="C25" s="84" t="s">
        <v>793</v>
      </c>
      <c r="D25" s="56" t="s">
        <v>321</v>
      </c>
      <c r="P25" s="78" t="str">
        <f t="shared" si="1"/>
        <v>No</v>
      </c>
    </row>
    <row r="26" spans="1:16" ht="43.5" x14ac:dyDescent="0.35">
      <c r="B26" s="14"/>
      <c r="C26" s="62" t="s">
        <v>794</v>
      </c>
      <c r="D26" s="19"/>
      <c r="K26" s="5"/>
      <c r="N26" s="5"/>
      <c r="P26" s="78" t="str">
        <f t="shared" si="1"/>
        <v>No</v>
      </c>
    </row>
    <row r="27" spans="1:16" ht="15" thickBot="1" x14ac:dyDescent="0.4">
      <c r="A27" s="29"/>
      <c r="B27" s="73"/>
      <c r="C27" s="82" t="s">
        <v>304</v>
      </c>
      <c r="D27" s="57"/>
      <c r="E27" s="29" t="str">
        <f>IF(D27=FSA_CCSC!$L$1,FSA_CCSC!$K$1,(IF(D27=FSA_CCSC!$L$2,FSA_CCSC!$K$2,(IF(D27=FSA_CCSC!$L$3,FSA_CCSC!$K$3,(IF(D27=FSA_CCSC!$L$4,FSA_CCSC!$K$4,FSA_CCSC!$K$5)))))))</f>
        <v/>
      </c>
      <c r="F27">
        <v>1</v>
      </c>
      <c r="G27">
        <v>2</v>
      </c>
      <c r="H27">
        <v>3</v>
      </c>
      <c r="I27">
        <v>4</v>
      </c>
      <c r="J27">
        <f>MIN(F27:I27)</f>
        <v>1</v>
      </c>
      <c r="P27" s="78" t="str">
        <f t="shared" si="1"/>
        <v>No</v>
      </c>
    </row>
    <row r="28" spans="1:16" x14ac:dyDescent="0.35">
      <c r="P28" s="78"/>
    </row>
    <row r="29" spans="1:16" x14ac:dyDescent="0.35">
      <c r="P29" s="78"/>
    </row>
    <row r="30" spans="1:16" x14ac:dyDescent="0.35">
      <c r="P30" s="78"/>
    </row>
    <row r="31" spans="1:16" x14ac:dyDescent="0.35">
      <c r="P31" s="78"/>
    </row>
    <row r="32" spans="1:16" x14ac:dyDescent="0.35">
      <c r="P32" s="78"/>
    </row>
    <row r="33" spans="16:16" x14ac:dyDescent="0.35">
      <c r="P33" s="78"/>
    </row>
    <row r="34" spans="16:16" x14ac:dyDescent="0.35">
      <c r="P34" s="78"/>
    </row>
    <row r="35" spans="16:16" x14ac:dyDescent="0.35">
      <c r="P35" s="78"/>
    </row>
    <row r="36" spans="16:16" x14ac:dyDescent="0.35">
      <c r="P36" s="78"/>
    </row>
    <row r="37" spans="16:16" x14ac:dyDescent="0.35">
      <c r="P37" s="78"/>
    </row>
    <row r="38" spans="16:16" x14ac:dyDescent="0.35">
      <c r="P38" s="78"/>
    </row>
    <row r="39" spans="16:16" x14ac:dyDescent="0.35">
      <c r="P39" s="78"/>
    </row>
    <row r="40" spans="16:16" x14ac:dyDescent="0.35">
      <c r="P40" s="78"/>
    </row>
    <row r="41" spans="16:16" x14ac:dyDescent="0.35">
      <c r="P41" s="78"/>
    </row>
    <row r="42" spans="16:16" x14ac:dyDescent="0.35">
      <c r="P42" s="78"/>
    </row>
    <row r="43" spans="16:16" x14ac:dyDescent="0.35">
      <c r="P43" s="78"/>
    </row>
    <row r="44" spans="16:16" x14ac:dyDescent="0.35">
      <c r="P44" s="78"/>
    </row>
    <row r="45" spans="16:16" x14ac:dyDescent="0.35">
      <c r="P45" s="78"/>
    </row>
    <row r="46" spans="16:16" x14ac:dyDescent="0.35">
      <c r="P46" s="78"/>
    </row>
    <row r="47" spans="16:16" x14ac:dyDescent="0.35">
      <c r="P47" s="78"/>
    </row>
    <row r="48" spans="16:16" x14ac:dyDescent="0.35">
      <c r="P48" s="78"/>
    </row>
    <row r="49" spans="16:16" x14ac:dyDescent="0.35">
      <c r="P49" s="78"/>
    </row>
    <row r="50" spans="16:16" x14ac:dyDescent="0.35">
      <c r="P50" s="78"/>
    </row>
    <row r="51" spans="16:16" x14ac:dyDescent="0.35">
      <c r="P51" s="78"/>
    </row>
    <row r="52" spans="16:16" x14ac:dyDescent="0.35">
      <c r="P52" s="78"/>
    </row>
    <row r="53" spans="16:16" x14ac:dyDescent="0.35">
      <c r="P53" s="78"/>
    </row>
    <row r="54" spans="16:16" x14ac:dyDescent="0.35">
      <c r="P54" s="78"/>
    </row>
    <row r="55" spans="16:16" x14ac:dyDescent="0.35">
      <c r="P55" s="78"/>
    </row>
    <row r="56" spans="16:16" x14ac:dyDescent="0.35">
      <c r="P56" s="78"/>
    </row>
    <row r="57" spans="16:16" x14ac:dyDescent="0.35">
      <c r="P57" s="78"/>
    </row>
    <row r="58" spans="16:16" x14ac:dyDescent="0.35">
      <c r="P58" s="78"/>
    </row>
    <row r="59" spans="16:16" x14ac:dyDescent="0.35">
      <c r="P59" s="78"/>
    </row>
    <row r="60" spans="16:16" x14ac:dyDescent="0.35">
      <c r="P60" s="78"/>
    </row>
    <row r="61" spans="16:16" x14ac:dyDescent="0.35">
      <c r="P61" s="78"/>
    </row>
    <row r="62" spans="16:16" x14ac:dyDescent="0.35">
      <c r="P62" s="78"/>
    </row>
    <row r="63" spans="16:16" x14ac:dyDescent="0.35">
      <c r="P63" s="78"/>
    </row>
    <row r="64" spans="16:16" x14ac:dyDescent="0.35">
      <c r="P64" s="78"/>
    </row>
    <row r="65" spans="16:16" x14ac:dyDescent="0.35">
      <c r="P65" s="78"/>
    </row>
    <row r="66" spans="16:16" x14ac:dyDescent="0.35">
      <c r="P66" s="78"/>
    </row>
    <row r="67" spans="16:16" x14ac:dyDescent="0.35">
      <c r="P67" s="78"/>
    </row>
    <row r="68" spans="16:16" x14ac:dyDescent="0.35">
      <c r="P68" s="78"/>
    </row>
    <row r="69" spans="16:16" x14ac:dyDescent="0.35">
      <c r="P69" s="78"/>
    </row>
    <row r="70" spans="16:16" x14ac:dyDescent="0.35">
      <c r="P70" s="78"/>
    </row>
    <row r="71" spans="16:16" x14ac:dyDescent="0.35">
      <c r="P71" s="78"/>
    </row>
    <row r="72" spans="16:16" x14ac:dyDescent="0.35">
      <c r="P72" s="78"/>
    </row>
    <row r="73" spans="16:16" x14ac:dyDescent="0.35">
      <c r="P73" s="78"/>
    </row>
    <row r="74" spans="16:16" x14ac:dyDescent="0.35">
      <c r="P74" s="78"/>
    </row>
    <row r="75" spans="16:16" x14ac:dyDescent="0.35">
      <c r="P75" s="78"/>
    </row>
    <row r="76" spans="16:16" x14ac:dyDescent="0.35">
      <c r="P76" s="78"/>
    </row>
    <row r="77" spans="16:16" x14ac:dyDescent="0.35">
      <c r="P77" s="78"/>
    </row>
    <row r="78" spans="16:16" x14ac:dyDescent="0.35">
      <c r="P78" s="78"/>
    </row>
    <row r="79" spans="16:16" x14ac:dyDescent="0.35">
      <c r="P79" s="78"/>
    </row>
    <row r="80" spans="16:16" x14ac:dyDescent="0.35">
      <c r="P80" s="78"/>
    </row>
    <row r="81" spans="16:16" x14ac:dyDescent="0.35">
      <c r="P81" s="78"/>
    </row>
    <row r="82" spans="16:16" x14ac:dyDescent="0.35">
      <c r="P82" s="78"/>
    </row>
    <row r="83" spans="16:16" x14ac:dyDescent="0.35">
      <c r="P83" s="78"/>
    </row>
    <row r="84" spans="16:16" x14ac:dyDescent="0.35">
      <c r="P84" s="78"/>
    </row>
    <row r="85" spans="16:16" x14ac:dyDescent="0.35">
      <c r="P85" s="78"/>
    </row>
    <row r="86" spans="16:16" x14ac:dyDescent="0.35">
      <c r="P86" s="78"/>
    </row>
    <row r="87" spans="16:16" x14ac:dyDescent="0.35">
      <c r="P87" s="78"/>
    </row>
    <row r="88" spans="16:16" x14ac:dyDescent="0.35">
      <c r="P88" s="78"/>
    </row>
    <row r="89" spans="16:16" x14ac:dyDescent="0.35">
      <c r="P89" s="78"/>
    </row>
    <row r="90" spans="16:16" x14ac:dyDescent="0.35">
      <c r="P90" s="78"/>
    </row>
    <row r="91" spans="16:16" x14ac:dyDescent="0.35">
      <c r="P91" s="78"/>
    </row>
    <row r="92" spans="16:16" x14ac:dyDescent="0.35">
      <c r="P92" s="78"/>
    </row>
    <row r="93" spans="16:16" x14ac:dyDescent="0.35">
      <c r="P93" s="78"/>
    </row>
    <row r="94" spans="16:16" x14ac:dyDescent="0.35">
      <c r="P94" s="78"/>
    </row>
    <row r="95" spans="16:16" x14ac:dyDescent="0.35">
      <c r="P95" s="78"/>
    </row>
    <row r="96" spans="16:16" x14ac:dyDescent="0.35">
      <c r="P96" s="78"/>
    </row>
    <row r="97" spans="16:16" x14ac:dyDescent="0.35">
      <c r="P97" s="78"/>
    </row>
    <row r="98" spans="16:16" x14ac:dyDescent="0.35">
      <c r="P98" s="78"/>
    </row>
    <row r="99" spans="16:16" x14ac:dyDescent="0.35">
      <c r="P99" s="78"/>
    </row>
    <row r="100" spans="16:16" x14ac:dyDescent="0.35">
      <c r="P100" s="78"/>
    </row>
    <row r="101" spans="16:16" x14ac:dyDescent="0.35">
      <c r="P101" s="78"/>
    </row>
    <row r="102" spans="16:16" x14ac:dyDescent="0.35">
      <c r="P102" s="78"/>
    </row>
    <row r="103" spans="16:16" x14ac:dyDescent="0.35">
      <c r="P103" s="78"/>
    </row>
    <row r="104" spans="16:16" x14ac:dyDescent="0.35">
      <c r="P104" s="78"/>
    </row>
  </sheetData>
  <autoFilter ref="P6:P27" xr:uid="{00000000-0001-0000-0800-000000000000}"/>
  <conditionalFormatting sqref="E18">
    <cfRule type="cellIs" dxfId="149" priority="22" operator="between">
      <formula>2.75</formula>
      <formula>3</formula>
    </cfRule>
    <cfRule type="cellIs" dxfId="148" priority="23" operator="between">
      <formula>1.75</formula>
      <formula>2.75</formula>
    </cfRule>
    <cfRule type="cellIs" dxfId="147" priority="24" operator="equal">
      <formula>0</formula>
    </cfRule>
  </conditionalFormatting>
  <conditionalFormatting sqref="E21">
    <cfRule type="cellIs" dxfId="146" priority="7" operator="between">
      <formula>2.75</formula>
      <formula>3</formula>
    </cfRule>
    <cfRule type="cellIs" dxfId="145" priority="8" operator="between">
      <formula>1.75</formula>
      <formula>2.75</formula>
    </cfRule>
    <cfRule type="cellIs" dxfId="144" priority="9" operator="equal">
      <formula>0</formula>
    </cfRule>
  </conditionalFormatting>
  <conditionalFormatting sqref="E24">
    <cfRule type="cellIs" dxfId="143" priority="4" operator="between">
      <formula>2.75</formula>
      <formula>3</formula>
    </cfRule>
    <cfRule type="cellIs" dxfId="142" priority="5" operator="between">
      <formula>1.75</formula>
      <formula>2.75</formula>
    </cfRule>
    <cfRule type="cellIs" dxfId="141" priority="6" operator="equal">
      <formula>0</formula>
    </cfRule>
  </conditionalFormatting>
  <conditionalFormatting sqref="E27">
    <cfRule type="cellIs" dxfId="140" priority="1" operator="between">
      <formula>2.75</formula>
      <formula>3</formula>
    </cfRule>
    <cfRule type="cellIs" dxfId="139" priority="2" operator="between">
      <formula>1.75</formula>
      <formula>2.75</formula>
    </cfRule>
    <cfRule type="cellIs" dxfId="138" priority="3" operator="equal">
      <formula>0</formula>
    </cfRule>
  </conditionalFormatting>
  <conditionalFormatting sqref="F7:I7">
    <cfRule type="cellIs" dxfId="137" priority="10" operator="equal">
      <formula>3</formula>
    </cfRule>
    <cfRule type="cellIs" dxfId="136" priority="11" operator="between">
      <formula>2</formula>
      <formula>3</formula>
    </cfRule>
    <cfRule type="cellIs" dxfId="135" priority="12" operator="between">
      <formula>0</formula>
      <formula>2</formula>
    </cfRule>
  </conditionalFormatting>
  <conditionalFormatting sqref="K1:K4">
    <cfRule type="cellIs" dxfId="134" priority="43" stopIfTrue="1" operator="between">
      <formula>2.75</formula>
      <formula>3</formula>
    </cfRule>
    <cfRule type="cellIs" dxfId="133" priority="44" stopIfTrue="1" operator="between">
      <formula>1.5</formula>
      <formula>2.75</formula>
    </cfRule>
    <cfRule type="cellIs" dxfId="132" priority="45" stopIfTrue="1" operator="between">
      <formula>0</formula>
      <formula>1.5</formula>
    </cfRule>
  </conditionalFormatting>
  <dataValidations count="1">
    <dataValidation type="list" allowBlank="1" showInputMessage="1" showErrorMessage="1" sqref="D18 D21 D24 D27" xr:uid="{B98FD189-2148-4932-8DBD-EDA3F998B39F}">
      <formula1>Rating</formula1>
    </dataValidation>
  </dataValidations>
  <pageMargins left="0.7" right="0.7" top="0.75" bottom="0.75" header="0.3" footer="0.3"/>
  <pageSetup paperSize="9" orientation="portrait" horizontalDpi="300"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D3557-B784-4AC0-96DE-B32C487C2D7E}">
  <dimension ref="A1:P41"/>
  <sheetViews>
    <sheetView zoomScaleNormal="100" workbookViewId="0">
      <pane ySplit="7" topLeftCell="A8" activePane="bottomLeft" state="frozen"/>
      <selection pane="bottomLeft" activeCell="C19" sqref="C19"/>
    </sheetView>
  </sheetViews>
  <sheetFormatPr defaultColWidth="8.6328125" defaultRowHeight="14.5" x14ac:dyDescent="0.35"/>
  <cols>
    <col min="3" max="3" width="48.6328125" customWidth="1"/>
    <col min="4" max="4" width="42.453125" customWidth="1"/>
    <col min="11" max="11" width="10.453125" customWidth="1"/>
    <col min="13" max="13" width="24.6328125" customWidth="1"/>
    <col min="14" max="14" width="10.36328125" customWidth="1"/>
  </cols>
  <sheetData>
    <row r="1" spans="1:16" x14ac:dyDescent="0.35">
      <c r="A1" s="1" t="s">
        <v>795</v>
      </c>
      <c r="F1" s="4"/>
      <c r="G1" s="4"/>
      <c r="H1" s="4"/>
      <c r="I1" s="4"/>
      <c r="J1" s="9" t="s">
        <v>88</v>
      </c>
      <c r="K1" s="9">
        <v>3</v>
      </c>
      <c r="L1" t="s">
        <v>301</v>
      </c>
      <c r="M1" s="2"/>
      <c r="N1" s="2"/>
      <c r="O1" s="2"/>
      <c r="P1" s="2"/>
    </row>
    <row r="2" spans="1:16" x14ac:dyDescent="0.35">
      <c r="A2" s="2"/>
      <c r="F2" s="16" t="s">
        <v>302</v>
      </c>
      <c r="G2" s="4"/>
      <c r="H2" s="4"/>
      <c r="I2" s="4"/>
      <c r="K2" s="9">
        <v>2</v>
      </c>
      <c r="L2" t="s">
        <v>303</v>
      </c>
      <c r="M2" s="2"/>
      <c r="N2" s="2"/>
      <c r="O2" s="2"/>
      <c r="P2" s="2"/>
    </row>
    <row r="3" spans="1:16" x14ac:dyDescent="0.35">
      <c r="A3" s="2"/>
      <c r="F3" t="s">
        <v>304</v>
      </c>
      <c r="G3" s="4"/>
      <c r="H3" s="4"/>
      <c r="I3" s="4"/>
      <c r="K3" s="9">
        <v>0</v>
      </c>
      <c r="L3" t="s">
        <v>305</v>
      </c>
      <c r="M3" s="2"/>
      <c r="N3" s="2"/>
      <c r="O3" s="2"/>
      <c r="P3" s="2"/>
    </row>
    <row r="4" spans="1:16" x14ac:dyDescent="0.35">
      <c r="A4" s="2"/>
      <c r="B4" s="2"/>
      <c r="C4" s="2"/>
      <c r="F4" s="4"/>
      <c r="G4" s="4"/>
      <c r="H4" s="4"/>
      <c r="I4" s="4"/>
      <c r="K4" s="9" t="s">
        <v>306</v>
      </c>
      <c r="L4" t="s">
        <v>307</v>
      </c>
      <c r="M4" s="2"/>
      <c r="N4" s="2"/>
      <c r="O4" s="2"/>
      <c r="P4" s="2"/>
    </row>
    <row r="5" spans="1:16" x14ac:dyDescent="0.35">
      <c r="F5" s="4"/>
      <c r="G5" s="4"/>
      <c r="H5" s="4"/>
      <c r="I5" s="4"/>
      <c r="J5" s="3"/>
      <c r="K5" s="17" t="s">
        <v>32</v>
      </c>
      <c r="L5" s="2"/>
      <c r="M5" s="2"/>
      <c r="N5" s="2"/>
      <c r="O5" s="2"/>
      <c r="P5" s="2"/>
    </row>
    <row r="6" spans="1:16" ht="29" x14ac:dyDescent="0.35">
      <c r="A6" s="31"/>
      <c r="B6" s="31"/>
      <c r="C6" s="31"/>
      <c r="D6" s="31"/>
      <c r="E6" s="31"/>
      <c r="F6" s="40"/>
      <c r="G6" s="40"/>
      <c r="H6" s="40"/>
      <c r="I6" s="40"/>
      <c r="J6" s="43" t="s">
        <v>94</v>
      </c>
      <c r="K6" s="61" t="s">
        <v>182</v>
      </c>
      <c r="L6" s="60" t="s">
        <v>308</v>
      </c>
      <c r="M6" s="60" t="s">
        <v>309</v>
      </c>
      <c r="N6" s="60" t="s">
        <v>310</v>
      </c>
      <c r="O6" s="60" t="s">
        <v>311</v>
      </c>
    </row>
    <row r="7" spans="1:16" x14ac:dyDescent="0.35">
      <c r="A7" s="1" t="s">
        <v>796</v>
      </c>
      <c r="B7" s="2"/>
      <c r="F7" s="42"/>
      <c r="G7" s="42"/>
      <c r="H7" s="42"/>
      <c r="I7" s="42"/>
    </row>
    <row r="8" spans="1:16" x14ac:dyDescent="0.35">
      <c r="A8" s="1"/>
      <c r="B8" s="18"/>
      <c r="C8" s="18"/>
      <c r="D8" s="20"/>
    </row>
    <row r="9" spans="1:16" x14ac:dyDescent="0.35">
      <c r="A9" s="30" t="s">
        <v>797</v>
      </c>
      <c r="B9" s="23" t="s">
        <v>208</v>
      </c>
      <c r="C9" s="37" t="s">
        <v>798</v>
      </c>
      <c r="D9" s="56" t="s">
        <v>321</v>
      </c>
    </row>
    <row r="10" spans="1:16" ht="101.5" x14ac:dyDescent="0.35">
      <c r="B10" s="2"/>
      <c r="C10" s="36" t="s">
        <v>799</v>
      </c>
      <c r="D10" s="19"/>
      <c r="K10" s="5"/>
    </row>
    <row r="11" spans="1:16" ht="15" thickBot="1" x14ac:dyDescent="0.4">
      <c r="A11" s="29"/>
      <c r="B11" s="22"/>
      <c r="C11" s="26"/>
      <c r="D11" s="57"/>
      <c r="E11" s="29" t="str">
        <f>IF(D11='ABB specific'!$L$1,'ABB specific'!$K$1,(IF(D11='ABB specific'!$L$2,'ABB specific'!$K$2,(IF(D11='ABB specific'!$L$3,'ABB specific'!$K$3,(IF(D11='ABB specific'!$L$4,'ABB specific'!$K$4,'ABB specific'!$K$5)))))))</f>
        <v/>
      </c>
    </row>
    <row r="12" spans="1:16" x14ac:dyDescent="0.35">
      <c r="A12" t="s">
        <v>797</v>
      </c>
      <c r="B12" s="25" t="s">
        <v>726</v>
      </c>
      <c r="C12" s="25" t="s">
        <v>800</v>
      </c>
      <c r="D12" s="5"/>
    </row>
    <row r="13" spans="1:16" ht="58" x14ac:dyDescent="0.35">
      <c r="B13" s="2"/>
      <c r="C13" s="24" t="s">
        <v>801</v>
      </c>
      <c r="D13" s="19"/>
    </row>
    <row r="14" spans="1:16" ht="15" thickBot="1" x14ac:dyDescent="0.4">
      <c r="A14" s="29"/>
      <c r="B14" s="22"/>
      <c r="C14" s="26"/>
      <c r="D14" s="57"/>
      <c r="E14" s="29" t="str">
        <f>IF(D14='ABB specific'!$L$1,'ABB specific'!$K$1,(IF(D14='ABB specific'!$L$2,'ABB specific'!$K$2,(IF(D14='ABB specific'!$L$3,'ABB specific'!$K$3,(IF(D14='ABB specific'!$L$4,'ABB specific'!$K$4,'ABB specific'!$K$5)))))))</f>
        <v/>
      </c>
    </row>
    <row r="15" spans="1:16" x14ac:dyDescent="0.35">
      <c r="A15" t="s">
        <v>797</v>
      </c>
      <c r="B15" s="25" t="s">
        <v>802</v>
      </c>
      <c r="C15" s="66" t="s">
        <v>803</v>
      </c>
      <c r="D15" s="5"/>
    </row>
    <row r="16" spans="1:16" ht="43.5" x14ac:dyDescent="0.35">
      <c r="B16" s="2"/>
      <c r="C16" s="66" t="s">
        <v>804</v>
      </c>
      <c r="D16" s="19"/>
    </row>
    <row r="17" spans="1:5" ht="15" thickBot="1" x14ac:dyDescent="0.4">
      <c r="A17" s="29"/>
      <c r="B17" s="22"/>
      <c r="C17" s="26"/>
      <c r="D17" s="57"/>
      <c r="E17" s="29" t="str">
        <f>IF(D17='ABB specific'!$L$1,'ABB specific'!$K$1,(IF(D17='ABB specific'!$L$2,'ABB specific'!$K$2,(IF(D17='ABB specific'!$L$3,'ABB specific'!$K$3,(IF(D17='ABB specific'!$L$4,'ABB specific'!$K$4,'ABB specific'!$K$5)))))))</f>
        <v/>
      </c>
    </row>
    <row r="18" spans="1:5" x14ac:dyDescent="0.35">
      <c r="A18" t="s">
        <v>797</v>
      </c>
      <c r="B18" s="25" t="s">
        <v>805</v>
      </c>
      <c r="C18" s="25" t="s">
        <v>806</v>
      </c>
      <c r="D18" s="5"/>
    </row>
    <row r="19" spans="1:5" ht="58" x14ac:dyDescent="0.35">
      <c r="B19" s="2"/>
      <c r="C19" s="24" t="s">
        <v>807</v>
      </c>
      <c r="D19" s="19"/>
    </row>
    <row r="20" spans="1:5" ht="15" thickBot="1" x14ac:dyDescent="0.4">
      <c r="A20" s="29"/>
      <c r="B20" s="22"/>
      <c r="C20" s="26"/>
      <c r="D20" s="57"/>
      <c r="E20" s="29" t="str">
        <f>IF(D20='ABB specific'!$L$1,'ABB specific'!$K$1,(IF(D20='ABB specific'!$L$2,'ABB specific'!$K$2,(IF(D20='ABB specific'!$L$3,'ABB specific'!$K$3,(IF(D20='ABB specific'!$L$4,'ABB specific'!$K$4,'ABB specific'!$K$5)))))))</f>
        <v/>
      </c>
    </row>
    <row r="21" spans="1:5" x14ac:dyDescent="0.35">
      <c r="B21" s="25"/>
      <c r="C21" s="25"/>
      <c r="D21" s="5"/>
    </row>
    <row r="22" spans="1:5" x14ac:dyDescent="0.35">
      <c r="B22" s="2"/>
      <c r="C22" s="24"/>
      <c r="D22" s="19"/>
    </row>
    <row r="23" spans="1:5" ht="15" thickBot="1" x14ac:dyDescent="0.4">
      <c r="A23" s="29"/>
      <c r="B23" s="22"/>
      <c r="C23" s="26"/>
      <c r="D23" s="57"/>
      <c r="E23" s="29" t="str">
        <f>IF(D23='ABB specific'!$L$1,'ABB specific'!$K$1,(IF(D23='ABB specific'!$L$2,'ABB specific'!$K$2,(IF(D23='ABB specific'!$L$3,'ABB specific'!$K$3,(IF(D23='ABB specific'!$L$4,'ABB specific'!$K$4,'ABB specific'!$K$5)))))))</f>
        <v/>
      </c>
    </row>
    <row r="24" spans="1:5" x14ac:dyDescent="0.35">
      <c r="B24" s="25"/>
      <c r="C24" s="25"/>
      <c r="D24" s="5"/>
    </row>
    <row r="25" spans="1:5" x14ac:dyDescent="0.35">
      <c r="B25" s="2"/>
      <c r="C25" s="24"/>
      <c r="D25" s="19"/>
    </row>
    <row r="26" spans="1:5" ht="15" thickBot="1" x14ac:dyDescent="0.4">
      <c r="A26" s="29"/>
      <c r="B26" s="22"/>
      <c r="C26" s="26"/>
      <c r="D26" s="57"/>
      <c r="E26" s="29" t="str">
        <f>IF(D26='ABB specific'!$L$1,'ABB specific'!$K$1,(IF(D26='ABB specific'!$L$2,'ABB specific'!$K$2,(IF(D26='ABB specific'!$L$3,'ABB specific'!$K$3,(IF(D26='ABB specific'!$L$4,'ABB specific'!$K$4,'ABB specific'!$K$5)))))))</f>
        <v/>
      </c>
    </row>
    <row r="27" spans="1:5" x14ac:dyDescent="0.35">
      <c r="B27" s="25"/>
      <c r="C27" s="25"/>
      <c r="D27" s="5"/>
    </row>
    <row r="28" spans="1:5" x14ac:dyDescent="0.35">
      <c r="B28" s="2"/>
      <c r="C28" s="24"/>
      <c r="D28" s="19"/>
    </row>
    <row r="29" spans="1:5" ht="15" thickBot="1" x14ac:dyDescent="0.4">
      <c r="A29" s="29"/>
      <c r="B29" s="22"/>
      <c r="C29" s="26"/>
      <c r="D29" s="57"/>
      <c r="E29" s="29" t="str">
        <f>IF(D29='ABB specific'!$L$1,'ABB specific'!$K$1,(IF(D29='ABB specific'!$L$2,'ABB specific'!$K$2,(IF(D29='ABB specific'!$L$3,'ABB specific'!$K$3,(IF(D29='ABB specific'!$L$4,'ABB specific'!$K$4,'ABB specific'!$K$5)))))))</f>
        <v/>
      </c>
    </row>
    <row r="30" spans="1:5" x14ac:dyDescent="0.35">
      <c r="A30" s="30"/>
      <c r="B30" s="23"/>
      <c r="C30" s="23"/>
      <c r="D30" s="56"/>
    </row>
    <row r="31" spans="1:5" ht="92.25" customHeight="1" x14ac:dyDescent="0.35">
      <c r="B31" s="2"/>
      <c r="C31" s="24"/>
      <c r="D31" s="19"/>
    </row>
    <row r="32" spans="1:5" ht="15" thickBot="1" x14ac:dyDescent="0.4">
      <c r="A32" s="29"/>
      <c r="B32" s="22"/>
      <c r="C32" s="26"/>
      <c r="D32" s="57"/>
      <c r="E32" s="29" t="str">
        <f>IF(D32='ABB specific'!$L$1,'ABB specific'!$K$1,(IF(D32='ABB specific'!$L$2,'ABB specific'!$K$2,(IF(D32='ABB specific'!$L$3,'ABB specific'!$K$3,(IF(D32='ABB specific'!$L$4,'ABB specific'!$K$4,'ABB specific'!$K$5)))))))</f>
        <v/>
      </c>
    </row>
    <row r="33" spans="1:14" x14ac:dyDescent="0.35">
      <c r="B33" s="25"/>
      <c r="C33" s="25"/>
      <c r="D33" s="5"/>
    </row>
    <row r="34" spans="1:14" x14ac:dyDescent="0.35">
      <c r="B34" s="2"/>
      <c r="C34" s="24"/>
      <c r="D34" s="19"/>
    </row>
    <row r="35" spans="1:14" ht="15" thickBot="1" x14ac:dyDescent="0.4">
      <c r="A35" s="29"/>
      <c r="B35" s="22"/>
      <c r="C35" s="26"/>
      <c r="D35" s="57"/>
      <c r="E35" s="29" t="str">
        <f>IF(D35='ABB specific'!$L$1,'ABB specific'!$K$1,(IF(D35='ABB specific'!$L$2,'ABB specific'!$K$2,(IF(D35='ABB specific'!$L$3,'ABB specific'!$K$3,(IF(D35='ABB specific'!$L$4,'ABB specific'!$K$4,'ABB specific'!$K$5)))))))</f>
        <v/>
      </c>
    </row>
    <row r="36" spans="1:14" x14ac:dyDescent="0.35">
      <c r="B36" s="25"/>
      <c r="C36" s="25"/>
      <c r="D36" s="5"/>
    </row>
    <row r="37" spans="1:14" x14ac:dyDescent="0.35">
      <c r="B37" s="2"/>
      <c r="C37" s="24"/>
      <c r="D37" s="19"/>
      <c r="K37" s="5"/>
      <c r="M37" s="5"/>
      <c r="N37" s="5"/>
    </row>
    <row r="38" spans="1:14" ht="15" thickBot="1" x14ac:dyDescent="0.4">
      <c r="A38" s="29"/>
      <c r="B38" s="22"/>
      <c r="C38" s="26"/>
      <c r="D38" s="57"/>
      <c r="E38" s="29" t="str">
        <f>IF(D38='ABB specific'!$L$1,'ABB specific'!$K$1,(IF(D38='ABB specific'!$L$2,'ABB specific'!$K$2,(IF(D38='ABB specific'!$L$3,'ABB specific'!$K$3,(IF(D38='ABB specific'!$L$4,'ABB specific'!$K$4,'ABB specific'!$K$5)))))))</f>
        <v/>
      </c>
    </row>
    <row r="39" spans="1:14" x14ac:dyDescent="0.35">
      <c r="B39" s="25"/>
      <c r="C39" s="25"/>
      <c r="D39" s="5"/>
    </row>
    <row r="40" spans="1:14" x14ac:dyDescent="0.35">
      <c r="B40" s="2"/>
      <c r="C40" s="24"/>
      <c r="D40" s="19"/>
    </row>
    <row r="41" spans="1:14" ht="15" thickBot="1" x14ac:dyDescent="0.4">
      <c r="A41" s="29"/>
      <c r="B41" s="22"/>
      <c r="C41" s="26"/>
      <c r="D41" s="57"/>
      <c r="E41" s="29" t="str">
        <f>IF(D41='ABB specific'!$L$1,'ABB specific'!$K$1,(IF(D41='ABB specific'!$L$2,'ABB specific'!$K$2,(IF(D41='ABB specific'!$L$3,'ABB specific'!$K$3,(IF(D41='ABB specific'!$L$4,'ABB specific'!$K$4,'ABB specific'!$K$5)))))))</f>
        <v/>
      </c>
    </row>
  </sheetData>
  <autoFilter ref="K6:O41" xr:uid="{AF9D3557-B784-4AC0-96DE-B32C487C2D7E}"/>
  <conditionalFormatting sqref="E11">
    <cfRule type="cellIs" dxfId="131" priority="34" operator="between">
      <formula>2.75</formula>
      <formula>3</formula>
    </cfRule>
    <cfRule type="cellIs" dxfId="130" priority="35" operator="between">
      <formula>1.75</formula>
      <formula>2.75</formula>
    </cfRule>
    <cfRule type="cellIs" dxfId="129" priority="36" operator="equal">
      <formula>0</formula>
    </cfRule>
  </conditionalFormatting>
  <conditionalFormatting sqref="E14">
    <cfRule type="cellIs" dxfId="128" priority="31" operator="between">
      <formula>2.75</formula>
      <formula>3</formula>
    </cfRule>
    <cfRule type="cellIs" dxfId="127" priority="32" operator="between">
      <formula>1.75</formula>
      <formula>2.75</formula>
    </cfRule>
    <cfRule type="cellIs" dxfId="126" priority="33" operator="equal">
      <formula>0</formula>
    </cfRule>
  </conditionalFormatting>
  <conditionalFormatting sqref="E17">
    <cfRule type="cellIs" dxfId="125" priority="28" operator="between">
      <formula>2.75</formula>
      <formula>3</formula>
    </cfRule>
    <cfRule type="cellIs" dxfId="124" priority="29" operator="between">
      <formula>1.75</formula>
      <formula>2.75</formula>
    </cfRule>
    <cfRule type="cellIs" dxfId="123" priority="30" operator="equal">
      <formula>0</formula>
    </cfRule>
  </conditionalFormatting>
  <conditionalFormatting sqref="E20">
    <cfRule type="cellIs" dxfId="122" priority="25" operator="between">
      <formula>2.75</formula>
      <formula>3</formula>
    </cfRule>
    <cfRule type="cellIs" dxfId="121" priority="26" operator="between">
      <formula>1.75</formula>
      <formula>2.75</formula>
    </cfRule>
    <cfRule type="cellIs" dxfId="120" priority="27" operator="equal">
      <formula>0</formula>
    </cfRule>
  </conditionalFormatting>
  <conditionalFormatting sqref="E23">
    <cfRule type="cellIs" dxfId="119" priority="22" operator="between">
      <formula>2.75</formula>
      <formula>3</formula>
    </cfRule>
    <cfRule type="cellIs" dxfId="118" priority="23" operator="between">
      <formula>1.75</formula>
      <formula>2.75</formula>
    </cfRule>
    <cfRule type="cellIs" dxfId="117" priority="24" operator="equal">
      <formula>0</formula>
    </cfRule>
  </conditionalFormatting>
  <conditionalFormatting sqref="E26">
    <cfRule type="cellIs" dxfId="116" priority="19" operator="between">
      <formula>2.75</formula>
      <formula>3</formula>
    </cfRule>
    <cfRule type="cellIs" dxfId="115" priority="20" operator="between">
      <formula>1.75</formula>
      <formula>2.75</formula>
    </cfRule>
    <cfRule type="cellIs" dxfId="114" priority="21" operator="equal">
      <formula>0</formula>
    </cfRule>
  </conditionalFormatting>
  <conditionalFormatting sqref="E29">
    <cfRule type="cellIs" dxfId="113" priority="1" operator="between">
      <formula>2.75</formula>
      <formula>3</formula>
    </cfRule>
    <cfRule type="cellIs" dxfId="112" priority="2" operator="between">
      <formula>1.75</formula>
      <formula>2.75</formula>
    </cfRule>
    <cfRule type="cellIs" dxfId="111" priority="3" operator="equal">
      <formula>0</formula>
    </cfRule>
  </conditionalFormatting>
  <conditionalFormatting sqref="E32">
    <cfRule type="cellIs" dxfId="110" priority="16" operator="between">
      <formula>2.75</formula>
      <formula>3</formula>
    </cfRule>
    <cfRule type="cellIs" dxfId="109" priority="17" operator="between">
      <formula>1.75</formula>
      <formula>2.75</formula>
    </cfRule>
    <cfRule type="cellIs" dxfId="108" priority="18" operator="equal">
      <formula>0</formula>
    </cfRule>
  </conditionalFormatting>
  <conditionalFormatting sqref="E35">
    <cfRule type="cellIs" dxfId="107" priority="13" operator="between">
      <formula>2.75</formula>
      <formula>3</formula>
    </cfRule>
    <cfRule type="cellIs" dxfId="106" priority="14" operator="between">
      <formula>1.75</formula>
      <formula>2.75</formula>
    </cfRule>
    <cfRule type="cellIs" dxfId="105" priority="15" operator="equal">
      <formula>0</formula>
    </cfRule>
  </conditionalFormatting>
  <conditionalFormatting sqref="E38">
    <cfRule type="cellIs" dxfId="104" priority="10" operator="between">
      <formula>2.75</formula>
      <formula>3</formula>
    </cfRule>
    <cfRule type="cellIs" dxfId="103" priority="11" operator="between">
      <formula>1.75</formula>
      <formula>2.75</formula>
    </cfRule>
    <cfRule type="cellIs" dxfId="102" priority="12" operator="equal">
      <formula>0</formula>
    </cfRule>
  </conditionalFormatting>
  <conditionalFormatting sqref="E41">
    <cfRule type="cellIs" dxfId="101" priority="7" operator="between">
      <formula>2.75</formula>
      <formula>3</formula>
    </cfRule>
    <cfRule type="cellIs" dxfId="100" priority="8" operator="between">
      <formula>1.75</formula>
      <formula>2.75</formula>
    </cfRule>
    <cfRule type="cellIs" dxfId="99" priority="9" operator="equal">
      <formula>0</formula>
    </cfRule>
  </conditionalFormatting>
  <conditionalFormatting sqref="K1:K4">
    <cfRule type="cellIs" dxfId="98" priority="37" stopIfTrue="1" operator="between">
      <formula>2.75</formula>
      <formula>3</formula>
    </cfRule>
    <cfRule type="cellIs" dxfId="97" priority="38" stopIfTrue="1" operator="between">
      <formula>1.5</formula>
      <formula>2.75</formula>
    </cfRule>
    <cfRule type="cellIs" dxfId="96" priority="39" stopIfTrue="1" operator="between">
      <formula>0</formula>
      <formula>1.5</formula>
    </cfRule>
  </conditionalFormatting>
  <dataValidations count="1">
    <dataValidation type="list" allowBlank="1" showInputMessage="1" showErrorMessage="1" sqref="D11 D14 D17 D20 D23 D26 D41 D32 D35 D38 D29" xr:uid="{C007E3AA-D6D0-4EEC-AD69-74D26B230AC8}">
      <formula1>Rating</formula1>
    </dataValidation>
  </dataValidations>
  <pageMargins left="0.7" right="0.7" top="0.75" bottom="0.75" header="0.3" footer="0.3"/>
  <pageSetup paperSize="9" orientation="portrait" horizontalDpi="300" r:id="rId1"/>
  <customProperties>
    <customPr name="_pios_id" r:id="rId2"/>
  </customProperties>
  <drawing r:id="rId3"/>
  <legacy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6"/>
  <sheetViews>
    <sheetView workbookViewId="0">
      <selection activeCell="B17" sqref="B17"/>
    </sheetView>
  </sheetViews>
  <sheetFormatPr defaultColWidth="8.6328125" defaultRowHeight="14.5" x14ac:dyDescent="0.35"/>
  <cols>
    <col min="1" max="1" width="11.453125" customWidth="1"/>
    <col min="2" max="2" width="59.453125" customWidth="1"/>
    <col min="3" max="3" width="23.453125" customWidth="1"/>
    <col min="4" max="4" width="30.453125" customWidth="1"/>
  </cols>
  <sheetData>
    <row r="1" spans="1:3" x14ac:dyDescent="0.35">
      <c r="A1" t="s">
        <v>88</v>
      </c>
      <c r="B1" t="s">
        <v>808</v>
      </c>
      <c r="C1" t="s">
        <v>809</v>
      </c>
    </row>
    <row r="2" spans="1:3" x14ac:dyDescent="0.35">
      <c r="A2" s="6">
        <v>3</v>
      </c>
      <c r="B2" t="s">
        <v>301</v>
      </c>
      <c r="C2" t="s">
        <v>810</v>
      </c>
    </row>
    <row r="3" spans="1:3" x14ac:dyDescent="0.35">
      <c r="A3" s="7">
        <v>2</v>
      </c>
      <c r="B3" t="s">
        <v>303</v>
      </c>
    </row>
    <row r="4" spans="1:3" x14ac:dyDescent="0.35">
      <c r="A4" s="8">
        <v>0</v>
      </c>
      <c r="B4" t="s">
        <v>305</v>
      </c>
      <c r="C4" t="s">
        <v>811</v>
      </c>
    </row>
    <row r="5" spans="1:3" x14ac:dyDescent="0.35">
      <c r="A5" s="9" t="s">
        <v>306</v>
      </c>
      <c r="B5" t="s">
        <v>307</v>
      </c>
      <c r="C5" t="s">
        <v>812</v>
      </c>
    </row>
    <row r="12" spans="1:3" x14ac:dyDescent="0.35">
      <c r="B12" s="119" t="s">
        <v>301</v>
      </c>
    </row>
    <row r="13" spans="1:3" x14ac:dyDescent="0.35">
      <c r="B13" s="122" t="s">
        <v>921</v>
      </c>
    </row>
    <row r="14" spans="1:3" x14ac:dyDescent="0.35">
      <c r="B14" s="122" t="s">
        <v>925</v>
      </c>
    </row>
    <row r="15" spans="1:3" x14ac:dyDescent="0.35">
      <c r="B15" s="122" t="s">
        <v>305</v>
      </c>
    </row>
    <row r="16" spans="1:3" x14ac:dyDescent="0.35">
      <c r="B16" s="122" t="s">
        <v>926</v>
      </c>
    </row>
  </sheetData>
  <pageMargins left="0.7" right="0.7" top="0.75" bottom="0.75" header="0.3" footer="0.3"/>
  <pageSetup paperSize="9" orientation="portrait" r:id="rId1"/>
  <customProperties>
    <customPr name="_pios_id" r:id="rId2"/>
  </customPropertie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0915-3BCD-4581-8676-502CF158C618}">
  <dimension ref="A1:P101"/>
  <sheetViews>
    <sheetView workbookViewId="0">
      <pane ySplit="7" topLeftCell="A14" activePane="bottomLeft" state="frozen"/>
      <selection pane="bottomLeft" activeCell="B21" sqref="B21"/>
    </sheetView>
  </sheetViews>
  <sheetFormatPr defaultColWidth="8.6328125" defaultRowHeight="14.5" x14ac:dyDescent="0.35"/>
  <cols>
    <col min="1" max="2" width="8.6328125" style="12"/>
    <col min="3" max="3" width="48.453125" style="13" bestFit="1" customWidth="1"/>
    <col min="4" max="4" width="42.453125" customWidth="1"/>
    <col min="11" max="11" width="10.453125" customWidth="1"/>
    <col min="13" max="13" width="24.6328125" customWidth="1"/>
    <col min="14" max="14" width="25" style="12" customWidth="1"/>
  </cols>
  <sheetData>
    <row r="1" spans="1:16" x14ac:dyDescent="0.35">
      <c r="A1" s="68" t="s">
        <v>813</v>
      </c>
      <c r="F1" s="4"/>
      <c r="G1" s="4"/>
      <c r="H1" s="4"/>
      <c r="I1" s="4"/>
      <c r="J1" s="9" t="s">
        <v>88</v>
      </c>
      <c r="K1" s="9">
        <v>3</v>
      </c>
      <c r="L1" t="s">
        <v>301</v>
      </c>
      <c r="M1" s="2"/>
      <c r="N1" s="14"/>
      <c r="O1" s="2"/>
      <c r="P1" s="2"/>
    </row>
    <row r="2" spans="1:16" x14ac:dyDescent="0.35">
      <c r="A2" s="14"/>
      <c r="F2" s="16" t="s">
        <v>302</v>
      </c>
      <c r="G2" s="4"/>
      <c r="H2" s="4"/>
      <c r="I2" s="4"/>
      <c r="K2" s="9">
        <v>2</v>
      </c>
      <c r="L2" t="s">
        <v>303</v>
      </c>
      <c r="M2" s="2"/>
      <c r="N2" s="14"/>
      <c r="O2" s="2"/>
      <c r="P2" s="2"/>
    </row>
    <row r="3" spans="1:16" x14ac:dyDescent="0.35">
      <c r="A3" s="14" t="s">
        <v>814</v>
      </c>
      <c r="F3" t="s">
        <v>304</v>
      </c>
      <c r="G3" s="4"/>
      <c r="H3" s="4"/>
      <c r="I3" s="4"/>
      <c r="K3" s="9">
        <v>0</v>
      </c>
      <c r="L3" t="s">
        <v>305</v>
      </c>
      <c r="M3" s="2"/>
      <c r="N3" s="14"/>
      <c r="O3" s="2"/>
      <c r="P3" s="2"/>
    </row>
    <row r="4" spans="1:16" x14ac:dyDescent="0.35">
      <c r="A4" s="14"/>
      <c r="B4" s="14"/>
      <c r="C4" s="15"/>
      <c r="F4" s="4"/>
      <c r="G4" s="4"/>
      <c r="H4" s="4"/>
      <c r="I4" s="4"/>
      <c r="K4" s="9" t="s">
        <v>306</v>
      </c>
      <c r="L4" t="s">
        <v>307</v>
      </c>
      <c r="M4" s="2"/>
      <c r="N4" s="14"/>
      <c r="O4" s="2"/>
      <c r="P4" s="2"/>
    </row>
    <row r="5" spans="1:16" x14ac:dyDescent="0.35">
      <c r="F5" s="4"/>
      <c r="G5" s="4"/>
      <c r="H5" s="4"/>
      <c r="I5" s="4"/>
      <c r="J5" s="3"/>
      <c r="K5" s="17" t="s">
        <v>32</v>
      </c>
      <c r="L5" s="2"/>
      <c r="M5" s="2"/>
      <c r="N5" s="14"/>
      <c r="O5" s="2"/>
      <c r="P5" s="2"/>
    </row>
    <row r="6" spans="1:16" ht="29" x14ac:dyDescent="0.35">
      <c r="A6" s="69"/>
      <c r="B6" s="69"/>
      <c r="C6" s="63"/>
      <c r="D6" s="31"/>
      <c r="E6" s="31"/>
      <c r="F6" s="40"/>
      <c r="G6" s="40"/>
      <c r="H6" s="40"/>
      <c r="I6" s="40"/>
      <c r="J6" s="43" t="s">
        <v>94</v>
      </c>
      <c r="K6" s="61" t="s">
        <v>182</v>
      </c>
      <c r="L6" s="60" t="s">
        <v>308</v>
      </c>
      <c r="M6" s="60" t="s">
        <v>309</v>
      </c>
      <c r="N6" s="63" t="s">
        <v>310</v>
      </c>
      <c r="O6" s="60" t="s">
        <v>311</v>
      </c>
    </row>
    <row r="7" spans="1:16" x14ac:dyDescent="0.35">
      <c r="A7" s="68" t="s">
        <v>796</v>
      </c>
      <c r="B7" s="14"/>
      <c r="F7" s="42"/>
      <c r="G7" s="42"/>
      <c r="H7" s="42"/>
      <c r="I7" s="42"/>
    </row>
    <row r="8" spans="1:16" ht="29" x14ac:dyDescent="0.35">
      <c r="A8" s="70" t="s">
        <v>797</v>
      </c>
      <c r="B8" s="71" t="s">
        <v>439</v>
      </c>
      <c r="C8" s="64" t="s">
        <v>815</v>
      </c>
      <c r="D8" s="56" t="s">
        <v>321</v>
      </c>
    </row>
    <row r="9" spans="1:16" ht="58" x14ac:dyDescent="0.35">
      <c r="B9" s="14"/>
      <c r="C9" s="62" t="s">
        <v>816</v>
      </c>
      <c r="D9" s="19" t="s">
        <v>817</v>
      </c>
      <c r="K9" s="5"/>
      <c r="M9" s="5"/>
      <c r="N9" s="13"/>
    </row>
    <row r="10" spans="1:16" ht="15" thickBot="1" x14ac:dyDescent="0.4">
      <c r="A10" s="72"/>
      <c r="B10" s="73"/>
      <c r="C10" s="65"/>
      <c r="D10" s="57"/>
      <c r="E10" s="29" t="str">
        <f>IF(D10='SDL mapping'!$L$1,'SDL mapping'!$K$1,(IF(D10='SDL mapping'!$L$2,'SDL mapping'!$K$2,(IF(D10='SDL mapping'!$L$3,'SDL mapping'!$K$3,(IF(D10='SDL mapping'!$L$4,'SDL mapping'!$K$4,'SDL mapping'!$K$5)))))))</f>
        <v/>
      </c>
    </row>
    <row r="11" spans="1:16" x14ac:dyDescent="0.35">
      <c r="A11" s="68"/>
      <c r="B11" s="18"/>
      <c r="C11" s="18"/>
      <c r="D11" s="20"/>
    </row>
    <row r="12" spans="1:16" x14ac:dyDescent="0.35">
      <c r="A12" s="70" t="s">
        <v>797</v>
      </c>
      <c r="B12" s="71" t="s">
        <v>818</v>
      </c>
      <c r="C12" s="64" t="s">
        <v>819</v>
      </c>
      <c r="D12" s="56" t="s">
        <v>321</v>
      </c>
    </row>
    <row r="13" spans="1:16" ht="145" x14ac:dyDescent="0.35">
      <c r="B13" s="14"/>
      <c r="C13" s="62" t="s">
        <v>820</v>
      </c>
      <c r="D13" s="19"/>
      <c r="K13" s="5"/>
      <c r="M13" s="5" t="s">
        <v>821</v>
      </c>
      <c r="N13" s="13" t="s">
        <v>822</v>
      </c>
    </row>
    <row r="14" spans="1:16" ht="15" thickBot="1" x14ac:dyDescent="0.4">
      <c r="A14" s="72"/>
      <c r="B14" s="73"/>
      <c r="C14" s="65"/>
      <c r="D14" s="57"/>
      <c r="E14" s="29" t="str">
        <f>IF(D14='SDL mapping'!$L$1,'SDL mapping'!$K$1,(IF(D14='SDL mapping'!$L$2,'SDL mapping'!$K$2,(IF(D14='SDL mapping'!$L$3,'SDL mapping'!$K$3,(IF(D14='SDL mapping'!$L$4,'SDL mapping'!$K$4,'SDL mapping'!$K$5)))))))</f>
        <v/>
      </c>
    </row>
    <row r="15" spans="1:16" x14ac:dyDescent="0.35">
      <c r="A15" s="12" t="s">
        <v>797</v>
      </c>
      <c r="B15" s="74" t="s">
        <v>716</v>
      </c>
      <c r="C15" s="66" t="s">
        <v>823</v>
      </c>
      <c r="D15" s="5"/>
    </row>
    <row r="16" spans="1:16" ht="58" x14ac:dyDescent="0.35">
      <c r="B16" s="14"/>
      <c r="C16" s="66" t="s">
        <v>824</v>
      </c>
      <c r="D16" s="19"/>
      <c r="N16" s="13" t="s">
        <v>825</v>
      </c>
    </row>
    <row r="17" spans="1:14" ht="15" thickBot="1" x14ac:dyDescent="0.4">
      <c r="A17" s="72"/>
      <c r="B17" s="73"/>
      <c r="C17" s="65"/>
      <c r="D17" s="57"/>
      <c r="E17" s="29" t="str">
        <f>IF(D17='SDL mapping'!$L$1,'SDL mapping'!$K$1,(IF(D17='SDL mapping'!$L$2,'SDL mapping'!$K$2,(IF(D17='SDL mapping'!$L$3,'SDL mapping'!$K$3,(IF(D17='SDL mapping'!$L$4,'SDL mapping'!$K$4,'SDL mapping'!$K$5)))))))</f>
        <v/>
      </c>
    </row>
    <row r="18" spans="1:14" x14ac:dyDescent="0.35">
      <c r="A18" s="12" t="s">
        <v>797</v>
      </c>
      <c r="B18" s="74" t="s">
        <v>734</v>
      </c>
      <c r="C18" s="66" t="s">
        <v>800</v>
      </c>
      <c r="D18" s="5"/>
    </row>
    <row r="19" spans="1:14" ht="43.5" x14ac:dyDescent="0.35">
      <c r="B19" s="14"/>
      <c r="C19" s="66" t="s">
        <v>826</v>
      </c>
      <c r="D19" s="19"/>
    </row>
    <row r="20" spans="1:14" ht="15" thickBot="1" x14ac:dyDescent="0.4">
      <c r="A20" s="72"/>
      <c r="B20" s="73"/>
      <c r="C20" s="65"/>
      <c r="D20" s="57"/>
      <c r="E20" s="29" t="str">
        <f>IF(D20='SDL mapping'!$L$1,'SDL mapping'!$K$1,(IF(D20='SDL mapping'!$L$2,'SDL mapping'!$K$2,(IF(D20='SDL mapping'!$L$3,'SDL mapping'!$K$3,(IF(D20='SDL mapping'!$L$4,'SDL mapping'!$K$4,'SDL mapping'!$K$5)))))))</f>
        <v/>
      </c>
    </row>
    <row r="21" spans="1:14" x14ac:dyDescent="0.35">
      <c r="A21" s="12" t="s">
        <v>797</v>
      </c>
      <c r="B21" s="74" t="s">
        <v>746</v>
      </c>
      <c r="C21" s="66" t="s">
        <v>800</v>
      </c>
      <c r="D21" s="5"/>
    </row>
    <row r="22" spans="1:14" ht="58" x14ac:dyDescent="0.35">
      <c r="B22" s="14"/>
      <c r="C22" s="66" t="s">
        <v>827</v>
      </c>
      <c r="D22" s="19"/>
    </row>
    <row r="23" spans="1:14" ht="15" thickBot="1" x14ac:dyDescent="0.4">
      <c r="A23" s="72"/>
      <c r="B23" s="73"/>
      <c r="C23" s="65"/>
      <c r="D23" s="57"/>
      <c r="E23" s="29" t="str">
        <f>IF(D23='SDL mapping'!$L$1,'SDL mapping'!$K$1,(IF(D23='SDL mapping'!$L$2,'SDL mapping'!$K$2,(IF(D23='SDL mapping'!$L$3,'SDL mapping'!$K$3,(IF(D23='SDL mapping'!$L$4,'SDL mapping'!$K$4,'SDL mapping'!$K$5)))))))</f>
        <v/>
      </c>
    </row>
    <row r="24" spans="1:14" x14ac:dyDescent="0.35">
      <c r="A24" s="12" t="s">
        <v>797</v>
      </c>
      <c r="B24" s="74" t="s">
        <v>828</v>
      </c>
      <c r="C24" s="66" t="s">
        <v>829</v>
      </c>
      <c r="D24" s="5"/>
    </row>
    <row r="25" spans="1:14" ht="58" x14ac:dyDescent="0.35">
      <c r="B25" s="14"/>
      <c r="C25" s="66" t="s">
        <v>830</v>
      </c>
      <c r="D25" s="19"/>
      <c r="N25" s="13" t="s">
        <v>831</v>
      </c>
    </row>
    <row r="26" spans="1:14" ht="15" thickBot="1" x14ac:dyDescent="0.4">
      <c r="A26" s="72"/>
      <c r="B26" s="73"/>
      <c r="C26" s="65"/>
      <c r="D26" s="57"/>
      <c r="E26" s="29" t="str">
        <f>IF(D26='SDL mapping'!$L$1,'SDL mapping'!$K$1,(IF(D26='SDL mapping'!$L$2,'SDL mapping'!$K$2,(IF(D26='SDL mapping'!$L$3,'SDL mapping'!$K$3,(IF(D26='SDL mapping'!$L$4,'SDL mapping'!$K$4,'SDL mapping'!$K$5)))))))</f>
        <v/>
      </c>
    </row>
    <row r="27" spans="1:14" x14ac:dyDescent="0.35">
      <c r="A27" s="12" t="s">
        <v>797</v>
      </c>
      <c r="B27" s="74" t="s">
        <v>832</v>
      </c>
      <c r="C27" s="66" t="s">
        <v>833</v>
      </c>
      <c r="D27" s="5"/>
    </row>
    <row r="28" spans="1:14" ht="43.5" x14ac:dyDescent="0.35">
      <c r="B28" s="14"/>
      <c r="C28" s="66" t="s">
        <v>834</v>
      </c>
      <c r="D28" s="19"/>
      <c r="N28" s="13" t="s">
        <v>835</v>
      </c>
    </row>
    <row r="29" spans="1:14" ht="15" thickBot="1" x14ac:dyDescent="0.4">
      <c r="A29" s="72"/>
      <c r="B29" s="73"/>
      <c r="C29" s="65"/>
      <c r="D29" s="57"/>
      <c r="E29" s="29" t="str">
        <f>IF(D29='SDL mapping'!$L$1,'SDL mapping'!$K$1,(IF(D29='SDL mapping'!$L$2,'SDL mapping'!$K$2,(IF(D29='SDL mapping'!$L$3,'SDL mapping'!$K$3,(IF(D29='SDL mapping'!$L$4,'SDL mapping'!$K$4,'SDL mapping'!$K$5)))))))</f>
        <v/>
      </c>
    </row>
    <row r="30" spans="1:14" x14ac:dyDescent="0.35">
      <c r="A30" s="12" t="s">
        <v>797</v>
      </c>
      <c r="B30" s="74" t="s">
        <v>836</v>
      </c>
      <c r="C30" s="66" t="s">
        <v>833</v>
      </c>
      <c r="D30" s="5"/>
    </row>
    <row r="31" spans="1:14" ht="261" x14ac:dyDescent="0.35">
      <c r="B31" s="14"/>
      <c r="C31" s="66" t="s">
        <v>837</v>
      </c>
      <c r="D31" s="19"/>
      <c r="N31" s="13" t="s">
        <v>835</v>
      </c>
    </row>
    <row r="32" spans="1:14" ht="15" thickBot="1" x14ac:dyDescent="0.4">
      <c r="A32" s="72"/>
      <c r="B32" s="73"/>
      <c r="C32" s="65"/>
      <c r="D32" s="57"/>
      <c r="E32" s="29" t="str">
        <f>IF(D32='SDL mapping'!$L$1,'SDL mapping'!$K$1,(IF(D32='SDL mapping'!$L$2,'SDL mapping'!$K$2,(IF(D32='SDL mapping'!$L$3,'SDL mapping'!$K$3,(IF(D32='SDL mapping'!$L$4,'SDL mapping'!$K$4,'SDL mapping'!$K$5)))))))</f>
        <v/>
      </c>
    </row>
    <row r="33" spans="1:14" x14ac:dyDescent="0.35">
      <c r="A33" s="12" t="s">
        <v>797</v>
      </c>
      <c r="B33" s="74" t="s">
        <v>838</v>
      </c>
      <c r="C33" s="66" t="s">
        <v>833</v>
      </c>
      <c r="D33" s="5"/>
    </row>
    <row r="34" spans="1:14" ht="145" x14ac:dyDescent="0.35">
      <c r="B34" s="14"/>
      <c r="C34" s="66" t="s">
        <v>839</v>
      </c>
      <c r="D34" s="19"/>
      <c r="N34" s="13" t="s">
        <v>835</v>
      </c>
    </row>
    <row r="35" spans="1:14" ht="15" thickBot="1" x14ac:dyDescent="0.4">
      <c r="A35" s="72"/>
      <c r="B35" s="73"/>
      <c r="C35" s="65"/>
      <c r="D35" s="57"/>
      <c r="E35" s="29" t="str">
        <f>IF(D35='SDL mapping'!$L$1,'SDL mapping'!$K$1,(IF(D35='SDL mapping'!$L$2,'SDL mapping'!$K$2,(IF(D35='SDL mapping'!$L$3,'SDL mapping'!$K$3,(IF(D35='SDL mapping'!$L$4,'SDL mapping'!$K$4,'SDL mapping'!$K$5)))))))</f>
        <v/>
      </c>
    </row>
    <row r="36" spans="1:14" x14ac:dyDescent="0.35">
      <c r="A36" s="12" t="s">
        <v>797</v>
      </c>
      <c r="B36" s="74" t="s">
        <v>840</v>
      </c>
      <c r="C36" s="66" t="s">
        <v>833</v>
      </c>
      <c r="D36" s="5"/>
    </row>
    <row r="37" spans="1:14" ht="116" x14ac:dyDescent="0.35">
      <c r="B37" s="14"/>
      <c r="C37" s="66" t="s">
        <v>841</v>
      </c>
      <c r="D37" s="19"/>
      <c r="N37" s="13" t="s">
        <v>835</v>
      </c>
    </row>
    <row r="38" spans="1:14" ht="15" thickBot="1" x14ac:dyDescent="0.4">
      <c r="A38" s="72"/>
      <c r="B38" s="73"/>
      <c r="C38" s="65"/>
      <c r="D38" s="57"/>
      <c r="E38" s="29" t="str">
        <f>IF(D38='SDL mapping'!$L$1,'SDL mapping'!$K$1,(IF(D38='SDL mapping'!$L$2,'SDL mapping'!$K$2,(IF(D38='SDL mapping'!$L$3,'SDL mapping'!$K$3,(IF(D38='SDL mapping'!$L$4,'SDL mapping'!$K$4,'SDL mapping'!$K$5)))))))</f>
        <v/>
      </c>
    </row>
    <row r="39" spans="1:14" ht="29" x14ac:dyDescent="0.35">
      <c r="A39" s="12" t="s">
        <v>797</v>
      </c>
      <c r="B39" s="74" t="s">
        <v>842</v>
      </c>
      <c r="C39" s="66" t="s">
        <v>843</v>
      </c>
      <c r="D39" s="5"/>
    </row>
    <row r="40" spans="1:14" ht="79.5" customHeight="1" x14ac:dyDescent="0.35">
      <c r="B40" s="14"/>
      <c r="C40" s="66" t="s">
        <v>844</v>
      </c>
      <c r="D40" s="19"/>
      <c r="N40" s="13" t="s">
        <v>845</v>
      </c>
    </row>
    <row r="41" spans="1:14" ht="15" thickBot="1" x14ac:dyDescent="0.4">
      <c r="A41" s="72"/>
      <c r="B41" s="73"/>
      <c r="C41" s="65"/>
      <c r="D41" s="57"/>
      <c r="E41" s="29" t="str">
        <f>IF(D41='SDL mapping'!$L$1,'SDL mapping'!$K$1,(IF(D41='SDL mapping'!$L$2,'SDL mapping'!$K$2,(IF(D41='SDL mapping'!$L$3,'SDL mapping'!$K$3,(IF(D41='SDL mapping'!$L$4,'SDL mapping'!$K$4,'SDL mapping'!$K$5)))))))</f>
        <v/>
      </c>
    </row>
    <row r="42" spans="1:14" x14ac:dyDescent="0.35">
      <c r="A42" s="12" t="s">
        <v>797</v>
      </c>
      <c r="B42" s="74" t="s">
        <v>846</v>
      </c>
      <c r="C42" s="66" t="s">
        <v>847</v>
      </c>
      <c r="D42" s="5"/>
    </row>
    <row r="43" spans="1:14" ht="58" x14ac:dyDescent="0.35">
      <c r="B43" s="14"/>
      <c r="C43" s="66" t="s">
        <v>848</v>
      </c>
      <c r="D43" s="19"/>
      <c r="N43" s="13" t="s">
        <v>849</v>
      </c>
    </row>
    <row r="44" spans="1:14" ht="15" thickBot="1" x14ac:dyDescent="0.4">
      <c r="A44" s="72"/>
      <c r="B44" s="73"/>
      <c r="C44" s="65"/>
      <c r="D44" s="57"/>
      <c r="E44" s="29" t="str">
        <f>IF(D44='SDL mapping'!$L$1,'SDL mapping'!$K$1,(IF(D44='SDL mapping'!$L$2,'SDL mapping'!$K$2,(IF(D44='SDL mapping'!$L$3,'SDL mapping'!$K$3,(IF(D44='SDL mapping'!$L$4,'SDL mapping'!$K$4,'SDL mapping'!$K$5)))))))</f>
        <v/>
      </c>
    </row>
    <row r="45" spans="1:14" x14ac:dyDescent="0.35">
      <c r="A45" s="12" t="s">
        <v>797</v>
      </c>
      <c r="B45" s="74" t="s">
        <v>850</v>
      </c>
      <c r="C45" s="66" t="s">
        <v>847</v>
      </c>
      <c r="D45" s="5"/>
    </row>
    <row r="46" spans="1:14" ht="43.5" x14ac:dyDescent="0.35">
      <c r="B46" s="14"/>
      <c r="C46" s="66" t="s">
        <v>851</v>
      </c>
      <c r="D46" s="19"/>
      <c r="N46" s="13" t="s">
        <v>852</v>
      </c>
    </row>
    <row r="47" spans="1:14" ht="15" thickBot="1" x14ac:dyDescent="0.4">
      <c r="A47" s="72"/>
      <c r="B47" s="73"/>
      <c r="C47" s="65"/>
      <c r="D47" s="57"/>
      <c r="E47" s="29" t="str">
        <f>IF(D47='SDL mapping'!$L$1,'SDL mapping'!$K$1,(IF(D47='SDL mapping'!$L$2,'SDL mapping'!$K$2,(IF(D47='SDL mapping'!$L$3,'SDL mapping'!$K$3,(IF(D47='SDL mapping'!$L$4,'SDL mapping'!$K$4,'SDL mapping'!$K$5)))))))</f>
        <v/>
      </c>
    </row>
    <row r="48" spans="1:14" x14ac:dyDescent="0.35">
      <c r="A48" s="12" t="s">
        <v>797</v>
      </c>
      <c r="B48" s="74" t="s">
        <v>853</v>
      </c>
      <c r="C48" s="66" t="s">
        <v>847</v>
      </c>
      <c r="D48" s="5"/>
    </row>
    <row r="49" spans="1:14" ht="101.5" x14ac:dyDescent="0.35">
      <c r="B49" s="14"/>
      <c r="C49" s="66" t="s">
        <v>854</v>
      </c>
      <c r="D49" s="19"/>
      <c r="N49" s="13" t="s">
        <v>855</v>
      </c>
    </row>
    <row r="50" spans="1:14" ht="15" thickBot="1" x14ac:dyDescent="0.4">
      <c r="A50" s="72"/>
      <c r="B50" s="73"/>
      <c r="C50" s="65"/>
      <c r="D50" s="57"/>
      <c r="E50" s="29" t="str">
        <f>IF(D50='SDL mapping'!$L$1,'SDL mapping'!$K$1,(IF(D50='SDL mapping'!$L$2,'SDL mapping'!$K$2,(IF(D50='SDL mapping'!$L$3,'SDL mapping'!$K$3,(IF(D50='SDL mapping'!$L$4,'SDL mapping'!$K$4,'SDL mapping'!$K$5)))))))</f>
        <v/>
      </c>
    </row>
    <row r="51" spans="1:14" x14ac:dyDescent="0.35">
      <c r="A51" s="12" t="s">
        <v>797</v>
      </c>
      <c r="B51" s="74" t="s">
        <v>856</v>
      </c>
      <c r="C51" s="66" t="s">
        <v>847</v>
      </c>
      <c r="D51" s="5"/>
    </row>
    <row r="52" spans="1:14" ht="58" x14ac:dyDescent="0.35">
      <c r="B52" s="14"/>
      <c r="C52" s="66" t="s">
        <v>857</v>
      </c>
      <c r="D52" s="19"/>
      <c r="N52" s="13" t="s">
        <v>858</v>
      </c>
    </row>
    <row r="53" spans="1:14" ht="15" thickBot="1" x14ac:dyDescent="0.4">
      <c r="A53" s="72"/>
      <c r="B53" s="73"/>
      <c r="C53" s="65"/>
      <c r="D53" s="57"/>
      <c r="E53" s="29" t="str">
        <f>IF(D53='SDL mapping'!$L$1,'SDL mapping'!$K$1,(IF(D53='SDL mapping'!$L$2,'SDL mapping'!$K$2,(IF(D53='SDL mapping'!$L$3,'SDL mapping'!$K$3,(IF(D53='SDL mapping'!$L$4,'SDL mapping'!$K$4,'SDL mapping'!$K$5)))))))</f>
        <v/>
      </c>
    </row>
    <row r="54" spans="1:14" x14ac:dyDescent="0.35">
      <c r="A54" s="12" t="s">
        <v>797</v>
      </c>
      <c r="B54" s="74" t="s">
        <v>859</v>
      </c>
      <c r="C54" s="66" t="s">
        <v>803</v>
      </c>
      <c r="D54" s="5"/>
    </row>
    <row r="55" spans="1:14" ht="130.5" x14ac:dyDescent="0.35">
      <c r="B55" s="14"/>
      <c r="C55" s="66" t="s">
        <v>860</v>
      </c>
      <c r="D55" s="19"/>
      <c r="N55" s="13" t="s">
        <v>861</v>
      </c>
    </row>
    <row r="56" spans="1:14" ht="15" thickBot="1" x14ac:dyDescent="0.4">
      <c r="A56" s="72"/>
      <c r="B56" s="73"/>
      <c r="C56" s="65"/>
      <c r="D56" s="57"/>
      <c r="E56" s="29" t="str">
        <f>IF(D56='SDL mapping'!$L$1,'SDL mapping'!$K$1,(IF(D56='SDL mapping'!$L$2,'SDL mapping'!$K$2,(IF(D56='SDL mapping'!$L$3,'SDL mapping'!$K$3,(IF(D56='SDL mapping'!$L$4,'SDL mapping'!$K$4,'SDL mapping'!$K$5)))))))</f>
        <v/>
      </c>
    </row>
    <row r="57" spans="1:14" x14ac:dyDescent="0.35">
      <c r="A57" s="12" t="s">
        <v>797</v>
      </c>
      <c r="B57" s="74" t="s">
        <v>862</v>
      </c>
      <c r="C57" s="66" t="s">
        <v>863</v>
      </c>
      <c r="D57" s="5"/>
    </row>
    <row r="58" spans="1:14" ht="43.5" x14ac:dyDescent="0.35">
      <c r="B58" s="14"/>
      <c r="C58" s="66" t="s">
        <v>864</v>
      </c>
      <c r="D58" s="19"/>
      <c r="N58" s="12" t="s">
        <v>865</v>
      </c>
    </row>
    <row r="59" spans="1:14" ht="15" thickBot="1" x14ac:dyDescent="0.4">
      <c r="A59" s="72"/>
      <c r="B59" s="73"/>
      <c r="C59" s="65"/>
      <c r="D59" s="57"/>
      <c r="E59" s="29" t="str">
        <f>IF(D59='SDL mapping'!$L$1,'SDL mapping'!$K$1,(IF(D59='SDL mapping'!$L$2,'SDL mapping'!$K$2,(IF(D59='SDL mapping'!$L$3,'SDL mapping'!$K$3,(IF(D59='SDL mapping'!$L$4,'SDL mapping'!$K$4,'SDL mapping'!$K$5)))))))</f>
        <v/>
      </c>
    </row>
    <row r="60" spans="1:14" x14ac:dyDescent="0.35">
      <c r="A60" s="12" t="s">
        <v>797</v>
      </c>
      <c r="B60" s="74" t="s">
        <v>866</v>
      </c>
      <c r="C60" s="66" t="s">
        <v>863</v>
      </c>
      <c r="D60" s="5"/>
    </row>
    <row r="61" spans="1:14" ht="43.5" x14ac:dyDescent="0.35">
      <c r="B61" s="14"/>
      <c r="C61" s="66" t="s">
        <v>867</v>
      </c>
      <c r="D61" s="19"/>
      <c r="M61" s="5" t="s">
        <v>868</v>
      </c>
      <c r="N61" s="12" t="s">
        <v>865</v>
      </c>
    </row>
    <row r="62" spans="1:14" ht="15" thickBot="1" x14ac:dyDescent="0.4">
      <c r="A62" s="72"/>
      <c r="B62" s="73"/>
      <c r="C62" s="65"/>
      <c r="D62" s="57"/>
      <c r="E62" s="29" t="str">
        <f>IF(D62='SDL mapping'!$L$1,'SDL mapping'!$K$1,(IF(D62='SDL mapping'!$L$2,'SDL mapping'!$K$2,(IF(D62='SDL mapping'!$L$3,'SDL mapping'!$K$3,(IF(D62='SDL mapping'!$L$4,'SDL mapping'!$K$4,'SDL mapping'!$K$5)))))))</f>
        <v/>
      </c>
    </row>
    <row r="63" spans="1:14" x14ac:dyDescent="0.35">
      <c r="A63" s="12" t="s">
        <v>797</v>
      </c>
      <c r="B63" s="74" t="s">
        <v>869</v>
      </c>
      <c r="C63" s="66" t="s">
        <v>870</v>
      </c>
      <c r="D63" s="5"/>
    </row>
    <row r="64" spans="1:14" ht="58" x14ac:dyDescent="0.35">
      <c r="B64" s="14"/>
      <c r="C64" s="66" t="s">
        <v>871</v>
      </c>
      <c r="D64" s="19"/>
      <c r="N64" s="12" t="s">
        <v>835</v>
      </c>
    </row>
    <row r="65" spans="1:14" ht="15" thickBot="1" x14ac:dyDescent="0.4">
      <c r="A65" s="72"/>
      <c r="B65" s="73"/>
      <c r="C65" s="65"/>
      <c r="D65" s="57"/>
      <c r="E65" s="29" t="str">
        <f>IF(D65='SDL mapping'!$L$1,'SDL mapping'!$K$1,(IF(D65='SDL mapping'!$L$2,'SDL mapping'!$K$2,(IF(D65='SDL mapping'!$L$3,'SDL mapping'!$K$3,(IF(D65='SDL mapping'!$L$4,'SDL mapping'!$K$4,'SDL mapping'!$K$5)))))))</f>
        <v/>
      </c>
    </row>
    <row r="66" spans="1:14" x14ac:dyDescent="0.35">
      <c r="A66" s="12" t="s">
        <v>797</v>
      </c>
      <c r="B66" s="74" t="s">
        <v>872</v>
      </c>
      <c r="C66" s="66" t="s">
        <v>806</v>
      </c>
      <c r="D66" s="5"/>
    </row>
    <row r="67" spans="1:14" ht="72.5" x14ac:dyDescent="0.35">
      <c r="B67" s="14"/>
      <c r="C67" s="66" t="s">
        <v>873</v>
      </c>
      <c r="D67" s="19"/>
      <c r="N67" s="13" t="s">
        <v>874</v>
      </c>
    </row>
    <row r="68" spans="1:14" ht="15" thickBot="1" x14ac:dyDescent="0.4">
      <c r="A68" s="72"/>
      <c r="B68" s="73"/>
      <c r="C68" s="65"/>
      <c r="D68" s="57"/>
      <c r="E68" s="29" t="str">
        <f>IF(D68='SDL mapping'!$L$1,'SDL mapping'!$K$1,(IF(D68='SDL mapping'!$L$2,'SDL mapping'!$K$2,(IF(D68='SDL mapping'!$L$3,'SDL mapping'!$K$3,(IF(D68='SDL mapping'!$L$4,'SDL mapping'!$K$4,'SDL mapping'!$K$5)))))))</f>
        <v/>
      </c>
    </row>
    <row r="69" spans="1:14" x14ac:dyDescent="0.35">
      <c r="A69" s="70" t="s">
        <v>797</v>
      </c>
      <c r="B69" s="71" t="s">
        <v>875</v>
      </c>
      <c r="C69" s="67" t="s">
        <v>876</v>
      </c>
      <c r="D69" s="56"/>
    </row>
    <row r="70" spans="1:14" ht="92.25" customHeight="1" x14ac:dyDescent="0.35">
      <c r="B70" s="14"/>
      <c r="C70" s="66" t="s">
        <v>877</v>
      </c>
      <c r="D70" s="19"/>
      <c r="N70" s="13" t="s">
        <v>878</v>
      </c>
    </row>
    <row r="71" spans="1:14" ht="15" thickBot="1" x14ac:dyDescent="0.4">
      <c r="A71" s="72"/>
      <c r="B71" s="73"/>
      <c r="C71" s="65"/>
      <c r="D71" s="57"/>
      <c r="E71" s="29" t="str">
        <f>IF(D71='SDL mapping'!$L$1,'SDL mapping'!$K$1,(IF(D71='SDL mapping'!$L$2,'SDL mapping'!$K$2,(IF(D71='SDL mapping'!$L$3,'SDL mapping'!$K$3,(IF(D71='SDL mapping'!$L$4,'SDL mapping'!$K$4,'SDL mapping'!$K$5)))))))</f>
        <v/>
      </c>
    </row>
    <row r="72" spans="1:14" x14ac:dyDescent="0.35">
      <c r="A72" s="12" t="s">
        <v>797</v>
      </c>
      <c r="B72" s="74" t="s">
        <v>879</v>
      </c>
      <c r="C72" s="67" t="s">
        <v>880</v>
      </c>
      <c r="D72" s="5"/>
    </row>
    <row r="73" spans="1:14" ht="72.5" x14ac:dyDescent="0.35">
      <c r="B73" s="14"/>
      <c r="C73" s="66" t="s">
        <v>881</v>
      </c>
      <c r="D73" s="19"/>
      <c r="N73" s="12" t="s">
        <v>882</v>
      </c>
    </row>
    <row r="74" spans="1:14" ht="15" thickBot="1" x14ac:dyDescent="0.4">
      <c r="A74" s="72"/>
      <c r="B74" s="73"/>
      <c r="C74" s="65"/>
      <c r="D74" s="57"/>
      <c r="E74" s="29" t="str">
        <f>IF(D74='SDL mapping'!$L$1,'SDL mapping'!$K$1,(IF(D74='SDL mapping'!$L$2,'SDL mapping'!$K$2,(IF(D74='SDL mapping'!$L$3,'SDL mapping'!$K$3,(IF(D74='SDL mapping'!$L$4,'SDL mapping'!$K$4,'SDL mapping'!$K$5)))))))</f>
        <v/>
      </c>
    </row>
    <row r="75" spans="1:14" x14ac:dyDescent="0.35">
      <c r="A75" s="12" t="s">
        <v>797</v>
      </c>
      <c r="B75" s="74" t="s">
        <v>883</v>
      </c>
      <c r="C75" s="67" t="s">
        <v>880</v>
      </c>
      <c r="D75" s="5"/>
    </row>
    <row r="76" spans="1:14" ht="58" x14ac:dyDescent="0.35">
      <c r="B76" s="14"/>
      <c r="C76" s="66" t="s">
        <v>884</v>
      </c>
      <c r="D76" s="19"/>
      <c r="K76" s="5"/>
      <c r="M76" s="5"/>
      <c r="N76" s="12" t="s">
        <v>882</v>
      </c>
    </row>
    <row r="77" spans="1:14" ht="15" thickBot="1" x14ac:dyDescent="0.4">
      <c r="A77" s="72"/>
      <c r="B77" s="73"/>
      <c r="C77" s="65"/>
      <c r="D77" s="57"/>
      <c r="E77" s="29" t="str">
        <f>IF(D77='SDL mapping'!$L$1,'SDL mapping'!$K$1,(IF(D77='SDL mapping'!$L$2,'SDL mapping'!$K$2,(IF(D77='SDL mapping'!$L$3,'SDL mapping'!$K$3,(IF(D77='SDL mapping'!$L$4,'SDL mapping'!$K$4,'SDL mapping'!$K$5)))))))</f>
        <v/>
      </c>
    </row>
    <row r="78" spans="1:14" x14ac:dyDescent="0.35">
      <c r="A78" s="12" t="s">
        <v>797</v>
      </c>
      <c r="B78" s="74" t="s">
        <v>885</v>
      </c>
      <c r="C78" s="67" t="s">
        <v>880</v>
      </c>
      <c r="D78" s="5"/>
    </row>
    <row r="79" spans="1:14" ht="72.5" x14ac:dyDescent="0.35">
      <c r="B79" s="14"/>
      <c r="C79" s="66" t="s">
        <v>886</v>
      </c>
      <c r="D79" s="19"/>
      <c r="N79" s="12" t="s">
        <v>887</v>
      </c>
    </row>
    <row r="80" spans="1:14" ht="15" thickBot="1" x14ac:dyDescent="0.4">
      <c r="A80" s="72"/>
      <c r="B80" s="73"/>
      <c r="C80" s="65"/>
      <c r="D80" s="57"/>
      <c r="E80" s="29" t="str">
        <f>IF(D80='SDL mapping'!$L$1,'SDL mapping'!$K$1,(IF(D80='SDL mapping'!$L$2,'SDL mapping'!$K$2,(IF(D80='SDL mapping'!$L$3,'SDL mapping'!$K$3,(IF(D80='SDL mapping'!$L$4,'SDL mapping'!$K$4,'SDL mapping'!$K$5)))))))</f>
        <v/>
      </c>
    </row>
    <row r="81" spans="1:14" x14ac:dyDescent="0.35">
      <c r="A81" s="12" t="s">
        <v>797</v>
      </c>
      <c r="B81" s="74" t="s">
        <v>888</v>
      </c>
      <c r="C81" s="67" t="s">
        <v>889</v>
      </c>
      <c r="D81" s="5"/>
    </row>
    <row r="82" spans="1:14" ht="145" x14ac:dyDescent="0.35">
      <c r="B82" s="14"/>
      <c r="C82" s="66" t="s">
        <v>890</v>
      </c>
      <c r="D82" s="19"/>
      <c r="N82" s="13" t="s">
        <v>891</v>
      </c>
    </row>
    <row r="83" spans="1:14" ht="15" thickBot="1" x14ac:dyDescent="0.4">
      <c r="A83" s="72"/>
      <c r="B83" s="73"/>
      <c r="C83" s="65"/>
      <c r="D83" s="57"/>
      <c r="E83" s="29" t="str">
        <f>IF(D83='SDL mapping'!$L$1,'SDL mapping'!$K$1,(IF(D83='SDL mapping'!$L$2,'SDL mapping'!$K$2,(IF(D83='SDL mapping'!$L$3,'SDL mapping'!$K$3,(IF(D83='SDL mapping'!$L$4,'SDL mapping'!$K$4,'SDL mapping'!$K$5)))))))</f>
        <v/>
      </c>
    </row>
    <row r="84" spans="1:14" x14ac:dyDescent="0.35">
      <c r="A84" s="12" t="s">
        <v>797</v>
      </c>
      <c r="B84" s="74" t="s">
        <v>892</v>
      </c>
      <c r="C84" s="67" t="s">
        <v>889</v>
      </c>
      <c r="D84" s="5"/>
    </row>
    <row r="85" spans="1:14" ht="72.5" x14ac:dyDescent="0.35">
      <c r="B85" s="14"/>
      <c r="C85" s="66" t="s">
        <v>893</v>
      </c>
      <c r="D85" s="19"/>
      <c r="N85" s="12" t="s">
        <v>894</v>
      </c>
    </row>
    <row r="86" spans="1:14" ht="15" thickBot="1" x14ac:dyDescent="0.4">
      <c r="A86" s="72"/>
      <c r="B86" s="73"/>
      <c r="C86" s="65"/>
      <c r="D86" s="57"/>
      <c r="E86" s="29" t="str">
        <f>IF(D86='SDL mapping'!$L$1,'SDL mapping'!$K$1,(IF(D86='SDL mapping'!$L$2,'SDL mapping'!$K$2,(IF(D86='SDL mapping'!$L$3,'SDL mapping'!$K$3,(IF(D86='SDL mapping'!$L$4,'SDL mapping'!$K$4,'SDL mapping'!$K$5)))))))</f>
        <v/>
      </c>
    </row>
    <row r="87" spans="1:14" x14ac:dyDescent="0.35">
      <c r="A87" s="12" t="s">
        <v>797</v>
      </c>
      <c r="B87" s="74" t="s">
        <v>895</v>
      </c>
      <c r="C87" s="67" t="s">
        <v>896</v>
      </c>
      <c r="D87" s="5"/>
    </row>
    <row r="88" spans="1:14" ht="43.5" x14ac:dyDescent="0.35">
      <c r="B88" s="14"/>
      <c r="C88" s="66" t="s">
        <v>897</v>
      </c>
      <c r="D88" s="19"/>
      <c r="N88" s="13" t="s">
        <v>898</v>
      </c>
    </row>
    <row r="89" spans="1:14" ht="15" thickBot="1" x14ac:dyDescent="0.4">
      <c r="A89" s="72"/>
      <c r="B89" s="73"/>
      <c r="C89" s="65"/>
      <c r="D89" s="57"/>
      <c r="E89" s="29" t="str">
        <f>IF(D89='SDL mapping'!$L$1,'SDL mapping'!$K$1,(IF(D89='SDL mapping'!$L$2,'SDL mapping'!$K$2,(IF(D89='SDL mapping'!$L$3,'SDL mapping'!$K$3,(IF(D89='SDL mapping'!$L$4,'SDL mapping'!$K$4,'SDL mapping'!$K$5)))))))</f>
        <v/>
      </c>
    </row>
    <row r="90" spans="1:14" x14ac:dyDescent="0.35">
      <c r="A90" s="12" t="s">
        <v>797</v>
      </c>
      <c r="B90" s="74" t="s">
        <v>899</v>
      </c>
      <c r="C90" s="67" t="s">
        <v>900</v>
      </c>
      <c r="D90" s="5"/>
    </row>
    <row r="91" spans="1:14" ht="43.5" x14ac:dyDescent="0.35">
      <c r="B91" s="14"/>
      <c r="C91" s="66" t="s">
        <v>901</v>
      </c>
      <c r="D91" s="19"/>
      <c r="N91" s="12" t="s">
        <v>902</v>
      </c>
    </row>
    <row r="92" spans="1:14" ht="15" thickBot="1" x14ac:dyDescent="0.4">
      <c r="A92" s="72"/>
      <c r="B92" s="73"/>
      <c r="C92" s="65"/>
      <c r="D92" s="57"/>
      <c r="E92" s="29" t="str">
        <f>IF(D92='SDL mapping'!$L$1,'SDL mapping'!$K$1,(IF(D92='SDL mapping'!$L$2,'SDL mapping'!$K$2,(IF(D92='SDL mapping'!$L$3,'SDL mapping'!$K$3,(IF(D92='SDL mapping'!$L$4,'SDL mapping'!$K$4,'SDL mapping'!$K$5)))))))</f>
        <v/>
      </c>
    </row>
    <row r="93" spans="1:14" x14ac:dyDescent="0.35">
      <c r="A93" s="12" t="s">
        <v>797</v>
      </c>
      <c r="B93" s="74" t="s">
        <v>903</v>
      </c>
      <c r="C93" s="67" t="s">
        <v>900</v>
      </c>
      <c r="D93" s="5"/>
    </row>
    <row r="94" spans="1:14" ht="43.5" x14ac:dyDescent="0.35">
      <c r="B94" s="14"/>
      <c r="C94" s="66" t="s">
        <v>904</v>
      </c>
      <c r="D94" s="19"/>
      <c r="N94" s="12" t="s">
        <v>905</v>
      </c>
    </row>
    <row r="95" spans="1:14" ht="15" thickBot="1" x14ac:dyDescent="0.4">
      <c r="A95" s="72"/>
      <c r="B95" s="73"/>
      <c r="C95" s="65"/>
      <c r="D95" s="57"/>
      <c r="E95" s="29" t="str">
        <f>IF(D95='SDL mapping'!$L$1,'SDL mapping'!$K$1,(IF(D95='SDL mapping'!$L$2,'SDL mapping'!$K$2,(IF(D95='SDL mapping'!$L$3,'SDL mapping'!$K$3,(IF(D95='SDL mapping'!$L$4,'SDL mapping'!$K$4,'SDL mapping'!$K$5)))))))</f>
        <v/>
      </c>
    </row>
    <row r="96" spans="1:14" x14ac:dyDescent="0.35">
      <c r="A96" s="12" t="s">
        <v>797</v>
      </c>
      <c r="B96" s="74" t="s">
        <v>906</v>
      </c>
      <c r="C96" s="67" t="s">
        <v>900</v>
      </c>
      <c r="D96" s="5"/>
    </row>
    <row r="97" spans="1:14" ht="72.5" x14ac:dyDescent="0.35">
      <c r="B97" s="14"/>
      <c r="C97" s="66" t="s">
        <v>907</v>
      </c>
      <c r="D97" s="19"/>
      <c r="N97" s="13" t="s">
        <v>908</v>
      </c>
    </row>
    <row r="98" spans="1:14" ht="15" thickBot="1" x14ac:dyDescent="0.4">
      <c r="A98" s="72"/>
      <c r="B98" s="73"/>
      <c r="C98" s="65"/>
      <c r="D98" s="57"/>
      <c r="E98" s="29" t="str">
        <f>IF(D98='SDL mapping'!$L$1,'SDL mapping'!$K$1,(IF(D98='SDL mapping'!$L$2,'SDL mapping'!$K$2,(IF(D98='SDL mapping'!$L$3,'SDL mapping'!$K$3,(IF(D98='SDL mapping'!$L$4,'SDL mapping'!$K$4,'SDL mapping'!$K$5)))))))</f>
        <v/>
      </c>
    </row>
    <row r="99" spans="1:14" x14ac:dyDescent="0.35">
      <c r="A99" s="12" t="s">
        <v>797</v>
      </c>
      <c r="B99" s="74" t="s">
        <v>909</v>
      </c>
      <c r="C99" s="67" t="s">
        <v>900</v>
      </c>
      <c r="D99" s="5"/>
    </row>
    <row r="100" spans="1:14" ht="58" x14ac:dyDescent="0.35">
      <c r="B100" s="14"/>
      <c r="C100" s="66" t="s">
        <v>910</v>
      </c>
      <c r="D100" s="19"/>
      <c r="N100" s="12" t="s">
        <v>905</v>
      </c>
    </row>
    <row r="101" spans="1:14" ht="15" thickBot="1" x14ac:dyDescent="0.4">
      <c r="A101" s="72"/>
      <c r="B101" s="73"/>
      <c r="C101" s="65"/>
      <c r="D101" s="57"/>
      <c r="E101" s="29" t="str">
        <f>IF(D101='SDL mapping'!$L$1,'SDL mapping'!$K$1,(IF(D101='SDL mapping'!$L$2,'SDL mapping'!$K$2,(IF(D101='SDL mapping'!$L$3,'SDL mapping'!$K$3,(IF(D101='SDL mapping'!$L$4,'SDL mapping'!$K$4,'SDL mapping'!$K$5)))))))</f>
        <v/>
      </c>
    </row>
  </sheetData>
  <conditionalFormatting sqref="E10">
    <cfRule type="cellIs" dxfId="95" priority="4" operator="between">
      <formula>2.75</formula>
      <formula>3</formula>
    </cfRule>
    <cfRule type="cellIs" dxfId="94" priority="5" operator="between">
      <formula>1.75</formula>
      <formula>2.75</formula>
    </cfRule>
    <cfRule type="cellIs" dxfId="93" priority="6" operator="equal">
      <formula>0</formula>
    </cfRule>
  </conditionalFormatting>
  <conditionalFormatting sqref="E14">
    <cfRule type="cellIs" dxfId="92" priority="94" operator="between">
      <formula>2.75</formula>
      <formula>3</formula>
    </cfRule>
    <cfRule type="cellIs" dxfId="91" priority="95" operator="between">
      <formula>1.75</formula>
      <formula>2.75</formula>
    </cfRule>
    <cfRule type="cellIs" dxfId="90" priority="96" operator="equal">
      <formula>0</formula>
    </cfRule>
  </conditionalFormatting>
  <conditionalFormatting sqref="E17">
    <cfRule type="cellIs" dxfId="89" priority="91" operator="between">
      <formula>2.75</formula>
      <formula>3</formula>
    </cfRule>
    <cfRule type="cellIs" dxfId="88" priority="92" operator="between">
      <formula>1.75</formula>
      <formula>2.75</formula>
    </cfRule>
    <cfRule type="cellIs" dxfId="87" priority="93" operator="equal">
      <formula>0</formula>
    </cfRule>
  </conditionalFormatting>
  <conditionalFormatting sqref="E20">
    <cfRule type="cellIs" dxfId="86" priority="88" operator="between">
      <formula>2.75</formula>
      <formula>3</formula>
    </cfRule>
    <cfRule type="cellIs" dxfId="85" priority="89" operator="between">
      <formula>1.75</formula>
      <formula>2.75</formula>
    </cfRule>
    <cfRule type="cellIs" dxfId="84" priority="90" operator="equal">
      <formula>0</formula>
    </cfRule>
  </conditionalFormatting>
  <conditionalFormatting sqref="E23">
    <cfRule type="cellIs" dxfId="83" priority="1" operator="between">
      <formula>2.75</formula>
      <formula>3</formula>
    </cfRule>
    <cfRule type="cellIs" dxfId="82" priority="2" operator="between">
      <formula>1.75</formula>
      <formula>2.75</formula>
    </cfRule>
    <cfRule type="cellIs" dxfId="81" priority="3" operator="equal">
      <formula>0</formula>
    </cfRule>
  </conditionalFormatting>
  <conditionalFormatting sqref="E26">
    <cfRule type="cellIs" dxfId="80" priority="61" operator="between">
      <formula>2.75</formula>
      <formula>3</formula>
    </cfRule>
    <cfRule type="cellIs" dxfId="79" priority="62" operator="between">
      <formula>1.75</formula>
      <formula>2.75</formula>
    </cfRule>
    <cfRule type="cellIs" dxfId="78" priority="63" operator="equal">
      <formula>0</formula>
    </cfRule>
  </conditionalFormatting>
  <conditionalFormatting sqref="E29">
    <cfRule type="cellIs" dxfId="77" priority="58" operator="between">
      <formula>2.75</formula>
      <formula>3</formula>
    </cfRule>
    <cfRule type="cellIs" dxfId="76" priority="59" operator="between">
      <formula>1.75</formula>
      <formula>2.75</formula>
    </cfRule>
    <cfRule type="cellIs" dxfId="75" priority="60" operator="equal">
      <formula>0</formula>
    </cfRule>
  </conditionalFormatting>
  <conditionalFormatting sqref="E32">
    <cfRule type="cellIs" dxfId="74" priority="55" operator="between">
      <formula>2.75</formula>
      <formula>3</formula>
    </cfRule>
    <cfRule type="cellIs" dxfId="73" priority="56" operator="between">
      <formula>1.75</formula>
      <formula>2.75</formula>
    </cfRule>
    <cfRule type="cellIs" dxfId="72" priority="57" operator="equal">
      <formula>0</formula>
    </cfRule>
  </conditionalFormatting>
  <conditionalFormatting sqref="E35">
    <cfRule type="cellIs" dxfId="71" priority="52" operator="between">
      <formula>2.75</formula>
      <formula>3</formula>
    </cfRule>
    <cfRule type="cellIs" dxfId="70" priority="53" operator="between">
      <formula>1.75</formula>
      <formula>2.75</formula>
    </cfRule>
    <cfRule type="cellIs" dxfId="69" priority="54" operator="equal">
      <formula>0</formula>
    </cfRule>
  </conditionalFormatting>
  <conditionalFormatting sqref="E38">
    <cfRule type="cellIs" dxfId="68" priority="49" operator="between">
      <formula>2.75</formula>
      <formula>3</formula>
    </cfRule>
    <cfRule type="cellIs" dxfId="67" priority="50" operator="between">
      <formula>1.75</formula>
      <formula>2.75</formula>
    </cfRule>
    <cfRule type="cellIs" dxfId="66" priority="51" operator="equal">
      <formula>0</formula>
    </cfRule>
  </conditionalFormatting>
  <conditionalFormatting sqref="E41">
    <cfRule type="cellIs" dxfId="65" priority="25" operator="between">
      <formula>2.75</formula>
      <formula>3</formula>
    </cfRule>
    <cfRule type="cellIs" dxfId="64" priority="26" operator="between">
      <formula>1.75</formula>
      <formula>2.75</formula>
    </cfRule>
    <cfRule type="cellIs" dxfId="63" priority="27" operator="equal">
      <formula>0</formula>
    </cfRule>
  </conditionalFormatting>
  <conditionalFormatting sqref="E44">
    <cfRule type="cellIs" dxfId="62" priority="22" operator="between">
      <formula>2.75</formula>
      <formula>3</formula>
    </cfRule>
    <cfRule type="cellIs" dxfId="61" priority="23" operator="between">
      <formula>1.75</formula>
      <formula>2.75</formula>
    </cfRule>
    <cfRule type="cellIs" dxfId="60" priority="24" operator="equal">
      <formula>0</formula>
    </cfRule>
  </conditionalFormatting>
  <conditionalFormatting sqref="E47">
    <cfRule type="cellIs" dxfId="59" priority="19" operator="between">
      <formula>2.75</formula>
      <formula>3</formula>
    </cfRule>
    <cfRule type="cellIs" dxfId="58" priority="20" operator="between">
      <formula>1.75</formula>
      <formula>2.75</formula>
    </cfRule>
    <cfRule type="cellIs" dxfId="57" priority="21" operator="equal">
      <formula>0</formula>
    </cfRule>
  </conditionalFormatting>
  <conditionalFormatting sqref="E50">
    <cfRule type="cellIs" dxfId="56" priority="16" operator="between">
      <formula>2.75</formula>
      <formula>3</formula>
    </cfRule>
    <cfRule type="cellIs" dxfId="55" priority="17" operator="between">
      <formula>1.75</formula>
      <formula>2.75</formula>
    </cfRule>
    <cfRule type="cellIs" dxfId="54" priority="18" operator="equal">
      <formula>0</formula>
    </cfRule>
  </conditionalFormatting>
  <conditionalFormatting sqref="E53">
    <cfRule type="cellIs" dxfId="53" priority="13" operator="between">
      <formula>2.75</formula>
      <formula>3</formula>
    </cfRule>
    <cfRule type="cellIs" dxfId="52" priority="14" operator="between">
      <formula>1.75</formula>
      <formula>2.75</formula>
    </cfRule>
    <cfRule type="cellIs" dxfId="51" priority="15" operator="equal">
      <formula>0</formula>
    </cfRule>
  </conditionalFormatting>
  <conditionalFormatting sqref="E56">
    <cfRule type="cellIs" dxfId="50" priority="10" operator="between">
      <formula>2.75</formula>
      <formula>3</formula>
    </cfRule>
    <cfRule type="cellIs" dxfId="49" priority="11" operator="between">
      <formula>1.75</formula>
      <formula>2.75</formula>
    </cfRule>
    <cfRule type="cellIs" dxfId="48" priority="12" operator="equal">
      <formula>0</formula>
    </cfRule>
  </conditionalFormatting>
  <conditionalFormatting sqref="E59">
    <cfRule type="cellIs" dxfId="47" priority="85" operator="between">
      <formula>2.75</formula>
      <formula>3</formula>
    </cfRule>
    <cfRule type="cellIs" dxfId="46" priority="86" operator="between">
      <formula>1.75</formula>
      <formula>2.75</formula>
    </cfRule>
    <cfRule type="cellIs" dxfId="45" priority="87" operator="equal">
      <formula>0</formula>
    </cfRule>
  </conditionalFormatting>
  <conditionalFormatting sqref="E62">
    <cfRule type="cellIs" dxfId="44" priority="82" operator="between">
      <formula>2.75</formula>
      <formula>3</formula>
    </cfRule>
    <cfRule type="cellIs" dxfId="43" priority="83" operator="between">
      <formula>1.75</formula>
      <formula>2.75</formula>
    </cfRule>
    <cfRule type="cellIs" dxfId="42" priority="84" operator="equal">
      <formula>0</formula>
    </cfRule>
  </conditionalFormatting>
  <conditionalFormatting sqref="E65">
    <cfRule type="cellIs" dxfId="41" priority="79" operator="between">
      <formula>2.75</formula>
      <formula>3</formula>
    </cfRule>
    <cfRule type="cellIs" dxfId="40" priority="80" operator="between">
      <formula>1.75</formula>
      <formula>2.75</formula>
    </cfRule>
    <cfRule type="cellIs" dxfId="39" priority="81" operator="equal">
      <formula>0</formula>
    </cfRule>
  </conditionalFormatting>
  <conditionalFormatting sqref="E68">
    <cfRule type="cellIs" dxfId="38" priority="64" operator="between">
      <formula>2.75</formula>
      <formula>3</formula>
    </cfRule>
    <cfRule type="cellIs" dxfId="37" priority="65" operator="between">
      <formula>1.75</formula>
      <formula>2.75</formula>
    </cfRule>
    <cfRule type="cellIs" dxfId="36" priority="66" operator="equal">
      <formula>0</formula>
    </cfRule>
  </conditionalFormatting>
  <conditionalFormatting sqref="E71">
    <cfRule type="cellIs" dxfId="35" priority="76" operator="between">
      <formula>2.75</formula>
      <formula>3</formula>
    </cfRule>
    <cfRule type="cellIs" dxfId="34" priority="77" operator="between">
      <formula>1.75</formula>
      <formula>2.75</formula>
    </cfRule>
    <cfRule type="cellIs" dxfId="33" priority="78" operator="equal">
      <formula>0</formula>
    </cfRule>
  </conditionalFormatting>
  <conditionalFormatting sqref="E74">
    <cfRule type="cellIs" dxfId="32" priority="73" operator="between">
      <formula>2.75</formula>
      <formula>3</formula>
    </cfRule>
    <cfRule type="cellIs" dxfId="31" priority="74" operator="between">
      <formula>1.75</formula>
      <formula>2.75</formula>
    </cfRule>
    <cfRule type="cellIs" dxfId="30" priority="75" operator="equal">
      <formula>0</formula>
    </cfRule>
  </conditionalFormatting>
  <conditionalFormatting sqref="E77">
    <cfRule type="cellIs" dxfId="29" priority="70" operator="between">
      <formula>2.75</formula>
      <formula>3</formula>
    </cfRule>
    <cfRule type="cellIs" dxfId="28" priority="71" operator="between">
      <formula>1.75</formula>
      <formula>2.75</formula>
    </cfRule>
    <cfRule type="cellIs" dxfId="27" priority="72" operator="equal">
      <formula>0</formula>
    </cfRule>
  </conditionalFormatting>
  <conditionalFormatting sqref="E80">
    <cfRule type="cellIs" dxfId="26" priority="67" operator="between">
      <formula>2.75</formula>
      <formula>3</formula>
    </cfRule>
    <cfRule type="cellIs" dxfId="25" priority="68" operator="between">
      <formula>1.75</formula>
      <formula>2.75</formula>
    </cfRule>
    <cfRule type="cellIs" dxfId="24" priority="69" operator="equal">
      <formula>0</formula>
    </cfRule>
  </conditionalFormatting>
  <conditionalFormatting sqref="E83">
    <cfRule type="cellIs" dxfId="23" priority="46" operator="between">
      <formula>2.75</formula>
      <formula>3</formula>
    </cfRule>
    <cfRule type="cellIs" dxfId="22" priority="47" operator="between">
      <formula>1.75</formula>
      <formula>2.75</formula>
    </cfRule>
    <cfRule type="cellIs" dxfId="21" priority="48" operator="equal">
      <formula>0</formula>
    </cfRule>
  </conditionalFormatting>
  <conditionalFormatting sqref="E86">
    <cfRule type="cellIs" dxfId="20" priority="43" operator="between">
      <formula>2.75</formula>
      <formula>3</formula>
    </cfRule>
    <cfRule type="cellIs" dxfId="19" priority="44" operator="between">
      <formula>1.75</formula>
      <formula>2.75</formula>
    </cfRule>
    <cfRule type="cellIs" dxfId="18" priority="45" operator="equal">
      <formula>0</formula>
    </cfRule>
  </conditionalFormatting>
  <conditionalFormatting sqref="E89">
    <cfRule type="cellIs" dxfId="17" priority="40" operator="between">
      <formula>2.75</formula>
      <formula>3</formula>
    </cfRule>
    <cfRule type="cellIs" dxfId="16" priority="41" operator="between">
      <formula>1.75</formula>
      <formula>2.75</formula>
    </cfRule>
    <cfRule type="cellIs" dxfId="15" priority="42" operator="equal">
      <formula>0</formula>
    </cfRule>
  </conditionalFormatting>
  <conditionalFormatting sqref="E92">
    <cfRule type="cellIs" dxfId="14" priority="37" operator="between">
      <formula>2.75</formula>
      <formula>3</formula>
    </cfRule>
    <cfRule type="cellIs" dxfId="13" priority="38" operator="between">
      <formula>1.75</formula>
      <formula>2.75</formula>
    </cfRule>
    <cfRule type="cellIs" dxfId="12" priority="39" operator="equal">
      <formula>0</formula>
    </cfRule>
  </conditionalFormatting>
  <conditionalFormatting sqref="E95">
    <cfRule type="cellIs" dxfId="11" priority="34" operator="between">
      <formula>2.75</formula>
      <formula>3</formula>
    </cfRule>
    <cfRule type="cellIs" dxfId="10" priority="35" operator="between">
      <formula>1.75</formula>
      <formula>2.75</formula>
    </cfRule>
    <cfRule type="cellIs" dxfId="9" priority="36" operator="equal">
      <formula>0</formula>
    </cfRule>
  </conditionalFormatting>
  <conditionalFormatting sqref="E98">
    <cfRule type="cellIs" dxfId="8" priority="31" operator="between">
      <formula>2.75</formula>
      <formula>3</formula>
    </cfRule>
    <cfRule type="cellIs" dxfId="7" priority="32" operator="between">
      <formula>1.75</formula>
      <formula>2.75</formula>
    </cfRule>
    <cfRule type="cellIs" dxfId="6" priority="33" operator="equal">
      <formula>0</formula>
    </cfRule>
  </conditionalFormatting>
  <conditionalFormatting sqref="E101">
    <cfRule type="cellIs" dxfId="5" priority="28" operator="between">
      <formula>2.75</formula>
      <formula>3</formula>
    </cfRule>
    <cfRule type="cellIs" dxfId="4" priority="29" operator="between">
      <formula>1.75</formula>
      <formula>2.75</formula>
    </cfRule>
    <cfRule type="cellIs" dxfId="3" priority="30" operator="equal">
      <formula>0</formula>
    </cfRule>
  </conditionalFormatting>
  <conditionalFormatting sqref="K1:K4">
    <cfRule type="cellIs" dxfId="2" priority="97" stopIfTrue="1" operator="between">
      <formula>2.75</formula>
      <formula>3</formula>
    </cfRule>
    <cfRule type="cellIs" dxfId="1" priority="98" stopIfTrue="1" operator="between">
      <formula>1.5</formula>
      <formula>2.75</formula>
    </cfRule>
    <cfRule type="cellIs" dxfId="0" priority="99" stopIfTrue="1" operator="between">
      <formula>0</formula>
      <formula>1.5</formula>
    </cfRule>
  </conditionalFormatting>
  <dataValidations count="1">
    <dataValidation type="list" allowBlank="1" showInputMessage="1" showErrorMessage="1" sqref="D14 D17 D101 D59 D62 D65 D68 D71 D74 D77 D10 D26 D29 D32 D35 D80 D83 D86 D89 D92 D95 D98 D38 D41 D44 D47 D50 D53 D56 D20 D23" xr:uid="{B39C2DDF-13C7-45E0-ADB8-0BB6E7CC1749}">
      <formula1>Rating</formula1>
    </dataValidation>
  </dataValidations>
  <pageMargins left="0.7" right="0.7" top="0.75" bottom="0.75" header="0.3" footer="0.3"/>
  <pageSetup paperSize="9" orientation="portrait" horizontalDpi="300" r:id="rId1"/>
  <customProperties>
    <customPr name="_pios_id" r:id="rId2"/>
  </customProperties>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1d29222-2c5f-45ad-9aa5-4c2d15fddbe9" xsi:nil="true"/>
    <lcf76f155ced4ddcb4097134ff3c332f xmlns="e7b8a7ca-449a-4aa8-b090-ff7b38de9f2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0FEAE64FF76A348B70AAD62EEE69510" ma:contentTypeVersion="17" ma:contentTypeDescription="Create a new document." ma:contentTypeScope="" ma:versionID="34e6688a7f8036573c4458a29cb9b0ba">
  <xsd:schema xmlns:xsd="http://www.w3.org/2001/XMLSchema" xmlns:xs="http://www.w3.org/2001/XMLSchema" xmlns:p="http://schemas.microsoft.com/office/2006/metadata/properties" xmlns:ns2="e7b8a7ca-449a-4aa8-b090-ff7b38de9f21" xmlns:ns3="cd2476a1-8d8e-4293-a257-62c13b175694" xmlns:ns4="71d29222-2c5f-45ad-9aa5-4c2d15fddbe9" targetNamespace="http://schemas.microsoft.com/office/2006/metadata/properties" ma:root="true" ma:fieldsID="254c3cee371cf3c9f21884288ab6a685" ns2:_="" ns3:_="" ns4:_="">
    <xsd:import namespace="e7b8a7ca-449a-4aa8-b090-ff7b38de9f21"/>
    <xsd:import namespace="cd2476a1-8d8e-4293-a257-62c13b175694"/>
    <xsd:import namespace="71d29222-2c5f-45ad-9aa5-4c2d15fddbe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b8a7ca-449a-4aa8-b090-ff7b38de9f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3e722c5-bebe-4801-a6ac-67aa35eba08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d2476a1-8d8e-4293-a257-62c13b17569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1d29222-2c5f-45ad-9aa5-4c2d15fddbe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818503f-7fa8-4561-8955-aedd96af1846}" ma:internalName="TaxCatchAll" ma:showField="CatchAllData" ma:web="cd2476a1-8d8e-4293-a257-62c13b1756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7BDEF2-5759-4B65-A4C8-D93C0E11075E}">
  <ds:schemaRefs>
    <ds:schemaRef ds:uri="http://purl.org/dc/terms/"/>
    <ds:schemaRef ds:uri="http://schemas.openxmlformats.org/package/2006/metadata/core-properties"/>
    <ds:schemaRef ds:uri="http://purl.org/dc/elements/1.1/"/>
    <ds:schemaRef ds:uri="http://schemas.microsoft.com/office/infopath/2007/PartnerControls"/>
    <ds:schemaRef ds:uri="e7b8a7ca-449a-4aa8-b090-ff7b38de9f21"/>
    <ds:schemaRef ds:uri="http://www.w3.org/XML/1998/namespace"/>
    <ds:schemaRef ds:uri="http://schemas.microsoft.com/office/2006/metadata/properties"/>
    <ds:schemaRef ds:uri="http://schemas.microsoft.com/office/2006/documentManagement/types"/>
    <ds:schemaRef ds:uri="http://purl.org/dc/dcmitype/"/>
    <ds:schemaRef ds:uri="71d29222-2c5f-45ad-9aa5-4c2d15fddbe9"/>
    <ds:schemaRef ds:uri="cd2476a1-8d8e-4293-a257-62c13b175694"/>
  </ds:schemaRefs>
</ds:datastoreItem>
</file>

<file path=customXml/itemProps2.xml><?xml version="1.0" encoding="utf-8"?>
<ds:datastoreItem xmlns:ds="http://schemas.openxmlformats.org/officeDocument/2006/customXml" ds:itemID="{81C16B51-3317-4B62-A375-AF2EF81F1F4C}">
  <ds:schemaRefs>
    <ds:schemaRef ds:uri="http://schemas.microsoft.com/sharepoint/v3/contenttype/forms"/>
  </ds:schemaRefs>
</ds:datastoreItem>
</file>

<file path=customXml/itemProps3.xml><?xml version="1.0" encoding="utf-8"?>
<ds:datastoreItem xmlns:ds="http://schemas.openxmlformats.org/officeDocument/2006/customXml" ds:itemID="{6011748F-8DC9-4AE2-AAAF-8A5C63E7E5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b8a7ca-449a-4aa8-b090-ff7b38de9f21"/>
    <ds:schemaRef ds:uri="cd2476a1-8d8e-4293-a257-62c13b175694"/>
    <ds:schemaRef ds:uri="71d29222-2c5f-45ad-9aa5-4c2d15fdd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vt:i4>
      </vt:variant>
    </vt:vector>
  </HeadingPairs>
  <TitlesOfParts>
    <vt:vector size="23" baseType="lpstr">
      <vt:lpstr>Guidance</vt:lpstr>
      <vt:lpstr>SL Vector and Rating</vt:lpstr>
      <vt:lpstr>Instructions</vt:lpstr>
      <vt:lpstr>Requirements</vt:lpstr>
      <vt:lpstr>Summary</vt:lpstr>
      <vt:lpstr>MCSR1.0</vt:lpstr>
      <vt:lpstr>Compliance Assessment</vt:lpstr>
      <vt:lpstr>FR1_IAC</vt:lpstr>
      <vt:lpstr>FR2_UC</vt:lpstr>
      <vt:lpstr>FR3_SI</vt:lpstr>
      <vt:lpstr>FR4_DC</vt:lpstr>
      <vt:lpstr>FR5_RDF</vt:lpstr>
      <vt:lpstr>FR6_TRE</vt:lpstr>
      <vt:lpstr>FR7_RA</vt:lpstr>
      <vt:lpstr>FSA_CCSC</vt:lpstr>
      <vt:lpstr>ABB specific</vt:lpstr>
      <vt:lpstr>List_Values</vt:lpstr>
      <vt:lpstr>SDL mapping</vt:lpstr>
      <vt:lpstr>Requirements!_FilterDatabase</vt:lpstr>
      <vt:lpstr>FR2_UC!_Ref470001432</vt:lpstr>
      <vt:lpstr>l_AssessorRating</vt:lpstr>
      <vt:lpstr>Rating</vt:lpstr>
      <vt:lpstr>SecurityLevels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SDLC Standard Assessment Tool</dc:title>
  <dc:subject/>
  <dc:creator>GCSC</dc:creator>
  <cp:keywords/>
  <dc:description/>
  <cp:lastModifiedBy>Anusha S Patil</cp:lastModifiedBy>
  <cp:revision/>
  <dcterms:created xsi:type="dcterms:W3CDTF">2017-01-22T13:39:22Z</dcterms:created>
  <dcterms:modified xsi:type="dcterms:W3CDTF">2026-04-21T05:59:15Z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0x01010050FEAE64FF76A348B70AAD62EEE69510</vt:lpwstr>
  </property>
  <property fmtid="{D5CDD505-2E9C-101B-9397-08002B2CF9AE}" pid="3" name="Technology">
    <vt:lpwstr/>
  </property>
  <property fmtid="{D5CDD505-2E9C-101B-9397-08002B2CF9AE}" pid="4" name="Product">
    <vt:lpwstr/>
  </property>
  <property fmtid="{D5CDD505-2E9C-101B-9397-08002B2CF9AE}" pid="5" name="Keyword(s)">
    <vt:lpwstr/>
  </property>
  <property fmtid="{D5CDD505-2E9C-101B-9397-08002B2CF9AE}" pid="6" name="Project Phase">
    <vt:lpwstr/>
  </property>
  <property fmtid="{D5CDD505-2E9C-101B-9397-08002B2CF9AE}" pid="7" name="MediaServiceImageTags">
    <vt:lpwstr/>
  </property>
  <property fmtid="{D5CDD505-2E9C-101B-9397-08002B2CF9AE}" pid="8" name="_dlc_DocIdItemGuid">
    <vt:lpwstr>a12ee280-da8b-434a-ac63-8e16a94e2fa8</vt:lpwstr>
  </property>
</Properties>
</file>